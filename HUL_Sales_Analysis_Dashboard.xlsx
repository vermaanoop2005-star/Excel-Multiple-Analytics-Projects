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ublic\"/>
    </mc:Choice>
  </mc:AlternateContent>
  <xr:revisionPtr revIDLastSave="0" documentId="8_{01E9C56C-5D17-46D9-9349-053AA93514DC}"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SHBORD" sheetId="7" r:id="rId2"/>
    <sheet name="HUL Sales Data" sheetId="1" r:id="rId3"/>
  </sheets>
  <definedNames>
    <definedName name="Slicer_Category">#N/A</definedName>
    <definedName name="Slicer_Product">#N/A</definedName>
    <definedName name="Slicer_Sales_Channel">#N/A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2" l="1"/>
  <c r="Q13" i="2"/>
  <c r="Q15" i="2"/>
  <c r="Q17" i="2"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alcChain>
</file>

<file path=xl/sharedStrings.xml><?xml version="1.0" encoding="utf-8"?>
<sst xmlns="http://schemas.openxmlformats.org/spreadsheetml/2006/main" count="3583" uniqueCount="582">
  <si>
    <t>Order_ID</t>
  </si>
  <si>
    <t>Order_Date</t>
  </si>
  <si>
    <t>Product</t>
  </si>
  <si>
    <t>Category</t>
  </si>
  <si>
    <t>City</t>
  </si>
  <si>
    <t>State</t>
  </si>
  <si>
    <t>Sales_Channel</t>
  </si>
  <si>
    <t>Customer_Type</t>
  </si>
  <si>
    <t>Units_Sold</t>
  </si>
  <si>
    <t>Unit_Price</t>
  </si>
  <si>
    <t>Discount_Percent</t>
  </si>
  <si>
    <t>Revenue</t>
  </si>
  <si>
    <t>HUL10002</t>
  </si>
  <si>
    <t>Lux Soap</t>
  </si>
  <si>
    <t>Beauty &amp; Personal Care</t>
  </si>
  <si>
    <t>Kanpur</t>
  </si>
  <si>
    <t>Uttar Pradesh</t>
  </si>
  <si>
    <t>Modern Trade</t>
  </si>
  <si>
    <t>Online Customer</t>
  </si>
  <si>
    <t>HUL10003</t>
  </si>
  <si>
    <t>Clinic Plus Shampoo</t>
  </si>
  <si>
    <t>Noida</t>
  </si>
  <si>
    <t>E-Commerce</t>
  </si>
  <si>
    <t>HUL10004</t>
  </si>
  <si>
    <t>Pears Soap</t>
  </si>
  <si>
    <t>General Trade</t>
  </si>
  <si>
    <t>Retailer</t>
  </si>
  <si>
    <t>HUL10005</t>
  </si>
  <si>
    <t>Pond's Face Wash</t>
  </si>
  <si>
    <t>Jaipur</t>
  </si>
  <si>
    <t>Rajasthan</t>
  </si>
  <si>
    <t>Wholesaler</t>
  </si>
  <si>
    <t>HUL10006</t>
  </si>
  <si>
    <t>Lifebuoy Handwash</t>
  </si>
  <si>
    <t>Chennai</t>
  </si>
  <si>
    <t>Tamil Nadu</t>
  </si>
  <si>
    <t>HUL10007</t>
  </si>
  <si>
    <t>Distributor</t>
  </si>
  <si>
    <t>HUL10008</t>
  </si>
  <si>
    <t>Delhi</t>
  </si>
  <si>
    <t>HUL10009</t>
  </si>
  <si>
    <t>HUL10010</t>
  </si>
  <si>
    <t>Kissan Tomato Ketchup</t>
  </si>
  <si>
    <t>Foods</t>
  </si>
  <si>
    <t>HUL10011</t>
  </si>
  <si>
    <t>Boost</t>
  </si>
  <si>
    <t>Nutrition</t>
  </si>
  <si>
    <t>Mumbai</t>
  </si>
  <si>
    <t>Maharashtra</t>
  </si>
  <si>
    <t>HUL10012</t>
  </si>
  <si>
    <t>HUL10013</t>
  </si>
  <si>
    <t>HUL10014</t>
  </si>
  <si>
    <t>Ahmedabad</t>
  </si>
  <si>
    <t>Gujarat</t>
  </si>
  <si>
    <t>HUL10015</t>
  </si>
  <si>
    <t>Sunsilk Shampoo</t>
  </si>
  <si>
    <t>Pune</t>
  </si>
  <si>
    <t>HUL10016</t>
  </si>
  <si>
    <t>HUL10017</t>
  </si>
  <si>
    <t>HUL10018</t>
  </si>
  <si>
    <t>Bengaluru</t>
  </si>
  <si>
    <t>Karnataka</t>
  </si>
  <si>
    <t>HUL10019</t>
  </si>
  <si>
    <t>Surf Excel Matic</t>
  </si>
  <si>
    <t>Home Care</t>
  </si>
  <si>
    <t>HUL10020</t>
  </si>
  <si>
    <t>Kolkata</t>
  </si>
  <si>
    <t>West Bengal</t>
  </si>
  <si>
    <t>HUL10021</t>
  </si>
  <si>
    <t>Horlicks</t>
  </si>
  <si>
    <t>HUL10022</t>
  </si>
  <si>
    <t>Domex Toilet Cleaner</t>
  </si>
  <si>
    <t>HUL10023</t>
  </si>
  <si>
    <t>Hyderabad</t>
  </si>
  <si>
    <t>Telangana</t>
  </si>
  <si>
    <t>HUL10024</t>
  </si>
  <si>
    <t>HUL10025</t>
  </si>
  <si>
    <t>HUL10026</t>
  </si>
  <si>
    <t>HUL10027</t>
  </si>
  <si>
    <t>Hellmann's Mayonnaise</t>
  </si>
  <si>
    <t>HUL10028</t>
  </si>
  <si>
    <t>Rin Detergent</t>
  </si>
  <si>
    <t>HUL10029</t>
  </si>
  <si>
    <t>HUL10030</t>
  </si>
  <si>
    <t>HUL10031</t>
  </si>
  <si>
    <t>HUL10032</t>
  </si>
  <si>
    <t>Dove Soap</t>
  </si>
  <si>
    <t>HUL10033</t>
  </si>
  <si>
    <t>HUL10034</t>
  </si>
  <si>
    <t>Vim Dishwash</t>
  </si>
  <si>
    <t>HUL10035</t>
  </si>
  <si>
    <t>HUL10036</t>
  </si>
  <si>
    <t>HUL10037</t>
  </si>
  <si>
    <t>HUL10038</t>
  </si>
  <si>
    <t>HUL10039</t>
  </si>
  <si>
    <t>HUL10040</t>
  </si>
  <si>
    <t>HUL10041</t>
  </si>
  <si>
    <t>HUL10042</t>
  </si>
  <si>
    <t>HUL10043</t>
  </si>
  <si>
    <t>HUL10044</t>
  </si>
  <si>
    <t>HUL10045</t>
  </si>
  <si>
    <t>Lucknow</t>
  </si>
  <si>
    <t>HUL10046</t>
  </si>
  <si>
    <t>HUL10047</t>
  </si>
  <si>
    <t>Dove Shampoo</t>
  </si>
  <si>
    <t>HUL10048</t>
  </si>
  <si>
    <t>HUL10049</t>
  </si>
  <si>
    <t>HUL10050</t>
  </si>
  <si>
    <t>HUL10051</t>
  </si>
  <si>
    <t>HUL10052</t>
  </si>
  <si>
    <t>HUL10053</t>
  </si>
  <si>
    <t>HUL10054</t>
  </si>
  <si>
    <t>HUL10055</t>
  </si>
  <si>
    <t>HUL10056</t>
  </si>
  <si>
    <t>HUL10057</t>
  </si>
  <si>
    <t>HUL10058</t>
  </si>
  <si>
    <t>HUL10059</t>
  </si>
  <si>
    <t>HUL10060</t>
  </si>
  <si>
    <t>HUL10061</t>
  </si>
  <si>
    <t>HUL10062</t>
  </si>
  <si>
    <t>HUL10063</t>
  </si>
  <si>
    <t>HUL10064</t>
  </si>
  <si>
    <t>HUL10065</t>
  </si>
  <si>
    <t>HUL10066</t>
  </si>
  <si>
    <t>HUL10067</t>
  </si>
  <si>
    <t>HUL10068</t>
  </si>
  <si>
    <t>HUL10069</t>
  </si>
  <si>
    <t>HUL10070</t>
  </si>
  <si>
    <t>HUL10071</t>
  </si>
  <si>
    <t>HUL10072</t>
  </si>
  <si>
    <t>HUL10073</t>
  </si>
  <si>
    <t>HUL10074</t>
  </si>
  <si>
    <t>HUL10075</t>
  </si>
  <si>
    <t>HUL10076</t>
  </si>
  <si>
    <t>HUL10077</t>
  </si>
  <si>
    <t>HUL10078</t>
  </si>
  <si>
    <t>HUL10079</t>
  </si>
  <si>
    <t>HUL10080</t>
  </si>
  <si>
    <t>HUL10081</t>
  </si>
  <si>
    <t>HUL10082</t>
  </si>
  <si>
    <t>HUL10083</t>
  </si>
  <si>
    <t>HUL10084</t>
  </si>
  <si>
    <t>HUL10085</t>
  </si>
  <si>
    <t>HUL10086</t>
  </si>
  <si>
    <t>HUL10087</t>
  </si>
  <si>
    <t>HUL10088</t>
  </si>
  <si>
    <t>HUL10089</t>
  </si>
  <si>
    <t>HUL10090</t>
  </si>
  <si>
    <t>HUL10091</t>
  </si>
  <si>
    <t>HUL10092</t>
  </si>
  <si>
    <t>HUL10093</t>
  </si>
  <si>
    <t>HUL10094</t>
  </si>
  <si>
    <t>HUL10095</t>
  </si>
  <si>
    <t>HUL10096</t>
  </si>
  <si>
    <t>HUL10097</t>
  </si>
  <si>
    <t>HUL10098</t>
  </si>
  <si>
    <t>HUL10099</t>
  </si>
  <si>
    <t>HUL10100</t>
  </si>
  <si>
    <t>HUL10101</t>
  </si>
  <si>
    <t>HUL10102</t>
  </si>
  <si>
    <t>HUL10103</t>
  </si>
  <si>
    <t>HUL10104</t>
  </si>
  <si>
    <t>HUL10105</t>
  </si>
  <si>
    <t>HUL10106</t>
  </si>
  <si>
    <t>HUL10107</t>
  </si>
  <si>
    <t>HUL10108</t>
  </si>
  <si>
    <t>HUL10109</t>
  </si>
  <si>
    <t>HUL10110</t>
  </si>
  <si>
    <t>HUL10111</t>
  </si>
  <si>
    <t>HUL10112</t>
  </si>
  <si>
    <t>HUL10113</t>
  </si>
  <si>
    <t>HUL10114</t>
  </si>
  <si>
    <t>HUL10115</t>
  </si>
  <si>
    <t>HUL10116</t>
  </si>
  <si>
    <t>HUL10117</t>
  </si>
  <si>
    <t>HUL10118</t>
  </si>
  <si>
    <t>HUL10119</t>
  </si>
  <si>
    <t>HUL10120</t>
  </si>
  <si>
    <t>HUL10121</t>
  </si>
  <si>
    <t>HUL10122</t>
  </si>
  <si>
    <t>HUL10123</t>
  </si>
  <si>
    <t>HUL10124</t>
  </si>
  <si>
    <t>HUL10125</t>
  </si>
  <si>
    <t>HUL10126</t>
  </si>
  <si>
    <t>HUL10127</t>
  </si>
  <si>
    <t>HUL10128</t>
  </si>
  <si>
    <t>HUL10129</t>
  </si>
  <si>
    <t>HUL10130</t>
  </si>
  <si>
    <t>HUL10131</t>
  </si>
  <si>
    <t>HUL10132</t>
  </si>
  <si>
    <t>HUL10133</t>
  </si>
  <si>
    <t>HUL10134</t>
  </si>
  <si>
    <t>HUL10135</t>
  </si>
  <si>
    <t>HUL10136</t>
  </si>
  <si>
    <t>HUL10137</t>
  </si>
  <si>
    <t>HUL10138</t>
  </si>
  <si>
    <t>HUL10139</t>
  </si>
  <si>
    <t>HUL10140</t>
  </si>
  <si>
    <t>HUL10141</t>
  </si>
  <si>
    <t>HUL10142</t>
  </si>
  <si>
    <t>HUL10143</t>
  </si>
  <si>
    <t>HUL10144</t>
  </si>
  <si>
    <t>HUL10145</t>
  </si>
  <si>
    <t>HUL10146</t>
  </si>
  <si>
    <t>HUL10147</t>
  </si>
  <si>
    <t>HUL10148</t>
  </si>
  <si>
    <t>HUL10149</t>
  </si>
  <si>
    <t>HUL10150</t>
  </si>
  <si>
    <t>HUL10151</t>
  </si>
  <si>
    <t>HUL10152</t>
  </si>
  <si>
    <t>HUL10153</t>
  </si>
  <si>
    <t>HUL10154</t>
  </si>
  <si>
    <t>HUL10155</t>
  </si>
  <si>
    <t>HUL10156</t>
  </si>
  <si>
    <t>HUL10157</t>
  </si>
  <si>
    <t>HUL10158</t>
  </si>
  <si>
    <t>HUL10159</t>
  </si>
  <si>
    <t>HUL10160</t>
  </si>
  <si>
    <t>HUL10161</t>
  </si>
  <si>
    <t>HUL10162</t>
  </si>
  <si>
    <t>HUL10163</t>
  </si>
  <si>
    <t>HUL10164</t>
  </si>
  <si>
    <t>HUL10165</t>
  </si>
  <si>
    <t>HUL10166</t>
  </si>
  <si>
    <t>HUL10167</t>
  </si>
  <si>
    <t>HUL10168</t>
  </si>
  <si>
    <t>HUL10169</t>
  </si>
  <si>
    <t>HUL10170</t>
  </si>
  <si>
    <t>HUL10171</t>
  </si>
  <si>
    <t>HUL10172</t>
  </si>
  <si>
    <t>HUL10173</t>
  </si>
  <si>
    <t>HUL10174</t>
  </si>
  <si>
    <t>HUL10175</t>
  </si>
  <si>
    <t>HUL10176</t>
  </si>
  <si>
    <t>HUL10177</t>
  </si>
  <si>
    <t>HUL10178</t>
  </si>
  <si>
    <t>HUL10179</t>
  </si>
  <si>
    <t>HUL10180</t>
  </si>
  <si>
    <t>HUL10181</t>
  </si>
  <si>
    <t>HUL10182</t>
  </si>
  <si>
    <t>HUL10183</t>
  </si>
  <si>
    <t>HUL10184</t>
  </si>
  <si>
    <t>HUL10185</t>
  </si>
  <si>
    <t>HUL10186</t>
  </si>
  <si>
    <t>HUL10187</t>
  </si>
  <si>
    <t>HUL10188</t>
  </si>
  <si>
    <t>HUL10189</t>
  </si>
  <si>
    <t>HUL10190</t>
  </si>
  <si>
    <t>HUL10191</t>
  </si>
  <si>
    <t>HUL10192</t>
  </si>
  <si>
    <t>HUL10193</t>
  </si>
  <si>
    <t>HUL10194</t>
  </si>
  <si>
    <t>HUL10195</t>
  </si>
  <si>
    <t>HUL10196</t>
  </si>
  <si>
    <t>HUL10197</t>
  </si>
  <si>
    <t>HUL10198</t>
  </si>
  <si>
    <t>HUL10199</t>
  </si>
  <si>
    <t>HUL10200</t>
  </si>
  <si>
    <t>HUL10201</t>
  </si>
  <si>
    <t>HUL10202</t>
  </si>
  <si>
    <t>HUL10203</t>
  </si>
  <si>
    <t>HUL10204</t>
  </si>
  <si>
    <t>HUL10205</t>
  </si>
  <si>
    <t>HUL10206</t>
  </si>
  <si>
    <t>HUL10207</t>
  </si>
  <si>
    <t>HUL10208</t>
  </si>
  <si>
    <t>HUL10209</t>
  </si>
  <si>
    <t>HUL10210</t>
  </si>
  <si>
    <t>HUL10211</t>
  </si>
  <si>
    <t>HUL10212</t>
  </si>
  <si>
    <t>HUL10213</t>
  </si>
  <si>
    <t>HUL10214</t>
  </si>
  <si>
    <t>HUL10215</t>
  </si>
  <si>
    <t>HUL10216</t>
  </si>
  <si>
    <t>HUL10217</t>
  </si>
  <si>
    <t>HUL10218</t>
  </si>
  <si>
    <t>HUL10219</t>
  </si>
  <si>
    <t>HUL10220</t>
  </si>
  <si>
    <t>HUL10221</t>
  </si>
  <si>
    <t>HUL10222</t>
  </si>
  <si>
    <t>HUL10223</t>
  </si>
  <si>
    <t>HUL10224</t>
  </si>
  <si>
    <t>HUL10225</t>
  </si>
  <si>
    <t>HUL10226</t>
  </si>
  <si>
    <t>HUL10227</t>
  </si>
  <si>
    <t>HUL10228</t>
  </si>
  <si>
    <t>HUL10229</t>
  </si>
  <si>
    <t>HUL10230</t>
  </si>
  <si>
    <t>HUL10231</t>
  </si>
  <si>
    <t>HUL10232</t>
  </si>
  <si>
    <t>HUL10233</t>
  </si>
  <si>
    <t>HUL10234</t>
  </si>
  <si>
    <t>HUL10235</t>
  </si>
  <si>
    <t>HUL10236</t>
  </si>
  <si>
    <t>HUL10237</t>
  </si>
  <si>
    <t>HUL10238</t>
  </si>
  <si>
    <t>HUL10239</t>
  </si>
  <si>
    <t>HUL10240</t>
  </si>
  <si>
    <t>HUL10241</t>
  </si>
  <si>
    <t>HUL10242</t>
  </si>
  <si>
    <t>HUL10243</t>
  </si>
  <si>
    <t>HUL10244</t>
  </si>
  <si>
    <t>HUL10245</t>
  </si>
  <si>
    <t>HUL10246</t>
  </si>
  <si>
    <t>HUL10247</t>
  </si>
  <si>
    <t>HUL10248</t>
  </si>
  <si>
    <t>HUL10249</t>
  </si>
  <si>
    <t>HUL10250</t>
  </si>
  <si>
    <t>HUL10251</t>
  </si>
  <si>
    <t>HUL10252</t>
  </si>
  <si>
    <t>HUL10253</t>
  </si>
  <si>
    <t>HUL10254</t>
  </si>
  <si>
    <t>HUL10255</t>
  </si>
  <si>
    <t>HUL10256</t>
  </si>
  <si>
    <t>HUL10257</t>
  </si>
  <si>
    <t>HUL10258</t>
  </si>
  <si>
    <t>HUL10259</t>
  </si>
  <si>
    <t>HUL10260</t>
  </si>
  <si>
    <t>HUL10261</t>
  </si>
  <si>
    <t>HUL10262</t>
  </si>
  <si>
    <t>HUL10263</t>
  </si>
  <si>
    <t>HUL10264</t>
  </si>
  <si>
    <t>HUL10265</t>
  </si>
  <si>
    <t>HUL10266</t>
  </si>
  <si>
    <t>HUL10267</t>
  </si>
  <si>
    <t>HUL10268</t>
  </si>
  <si>
    <t>HUL10269</t>
  </si>
  <si>
    <t>HUL10270</t>
  </si>
  <si>
    <t>HUL10271</t>
  </si>
  <si>
    <t>HUL10272</t>
  </si>
  <si>
    <t>HUL10273</t>
  </si>
  <si>
    <t>HUL10274</t>
  </si>
  <si>
    <t>HUL10275</t>
  </si>
  <si>
    <t>HUL10276</t>
  </si>
  <si>
    <t>HUL10277</t>
  </si>
  <si>
    <t>HUL10278</t>
  </si>
  <si>
    <t>HUL10279</t>
  </si>
  <si>
    <t>HUL10280</t>
  </si>
  <si>
    <t>HUL10281</t>
  </si>
  <si>
    <t>HUL10282</t>
  </si>
  <si>
    <t>HUL10283</t>
  </si>
  <si>
    <t>HUL10284</t>
  </si>
  <si>
    <t>HUL10285</t>
  </si>
  <si>
    <t>HUL10286</t>
  </si>
  <si>
    <t>HUL10287</t>
  </si>
  <si>
    <t>HUL10288</t>
  </si>
  <si>
    <t>HUL10289</t>
  </si>
  <si>
    <t>HUL10290</t>
  </si>
  <si>
    <t>HUL10291</t>
  </si>
  <si>
    <t>HUL10292</t>
  </si>
  <si>
    <t>HUL10293</t>
  </si>
  <si>
    <t>HUL10294</t>
  </si>
  <si>
    <t>HUL10295</t>
  </si>
  <si>
    <t>HUL10296</t>
  </si>
  <si>
    <t>HUL10297</t>
  </si>
  <si>
    <t>HUL10298</t>
  </si>
  <si>
    <t>HUL10299</t>
  </si>
  <si>
    <t>HUL10300</t>
  </si>
  <si>
    <t>HUL10301</t>
  </si>
  <si>
    <t>HUL10302</t>
  </si>
  <si>
    <t>HUL10303</t>
  </si>
  <si>
    <t>HUL10304</t>
  </si>
  <si>
    <t>HUL10305</t>
  </si>
  <si>
    <t>HUL10306</t>
  </si>
  <si>
    <t>HUL10307</t>
  </si>
  <si>
    <t>HUL10308</t>
  </si>
  <si>
    <t>HUL10309</t>
  </si>
  <si>
    <t>HUL10310</t>
  </si>
  <si>
    <t>HUL10311</t>
  </si>
  <si>
    <t>HUL10312</t>
  </si>
  <si>
    <t>HUL10313</t>
  </si>
  <si>
    <t>HUL10314</t>
  </si>
  <si>
    <t>HUL10315</t>
  </si>
  <si>
    <t>HUL10316</t>
  </si>
  <si>
    <t>HUL10317</t>
  </si>
  <si>
    <t>HUL10318</t>
  </si>
  <si>
    <t>HUL10319</t>
  </si>
  <si>
    <t>HUL10320</t>
  </si>
  <si>
    <t>HUL10321</t>
  </si>
  <si>
    <t>HUL10322</t>
  </si>
  <si>
    <t>HUL10323</t>
  </si>
  <si>
    <t>HUL10324</t>
  </si>
  <si>
    <t>HUL10325</t>
  </si>
  <si>
    <t>HUL10326</t>
  </si>
  <si>
    <t>HUL10327</t>
  </si>
  <si>
    <t>HUL10328</t>
  </si>
  <si>
    <t>HUL10329</t>
  </si>
  <si>
    <t>HUL10330</t>
  </si>
  <si>
    <t>HUL10331</t>
  </si>
  <si>
    <t>HUL10332</t>
  </si>
  <si>
    <t>HUL10333</t>
  </si>
  <si>
    <t>HUL10334</t>
  </si>
  <si>
    <t>HUL10335</t>
  </si>
  <si>
    <t>HUL10336</t>
  </si>
  <si>
    <t>HUL10337</t>
  </si>
  <si>
    <t>HUL10338</t>
  </si>
  <si>
    <t>HUL10339</t>
  </si>
  <si>
    <t>HUL10340</t>
  </si>
  <si>
    <t>HUL10341</t>
  </si>
  <si>
    <t>HUL10342</t>
  </si>
  <si>
    <t>HUL10343</t>
  </si>
  <si>
    <t>HUL10344</t>
  </si>
  <si>
    <t>HUL10345</t>
  </si>
  <si>
    <t>HUL10346</t>
  </si>
  <si>
    <t>HUL10347</t>
  </si>
  <si>
    <t>HUL10348</t>
  </si>
  <si>
    <t>HUL10349</t>
  </si>
  <si>
    <t>HUL10350</t>
  </si>
  <si>
    <t>HUL10351</t>
  </si>
  <si>
    <t>HUL10352</t>
  </si>
  <si>
    <t>HUL10353</t>
  </si>
  <si>
    <t>HUL10354</t>
  </si>
  <si>
    <t>HUL10355</t>
  </si>
  <si>
    <t>HUL10356</t>
  </si>
  <si>
    <t>HUL10357</t>
  </si>
  <si>
    <t>HUL10358</t>
  </si>
  <si>
    <t>HUL10359</t>
  </si>
  <si>
    <t>HUL10360</t>
  </si>
  <si>
    <t>HUL10361</t>
  </si>
  <si>
    <t>HUL10362</t>
  </si>
  <si>
    <t>HUL10363</t>
  </si>
  <si>
    <t>HUL10364</t>
  </si>
  <si>
    <t>HUL10365</t>
  </si>
  <si>
    <t>HUL10366</t>
  </si>
  <si>
    <t>HUL10367</t>
  </si>
  <si>
    <t>HUL10368</t>
  </si>
  <si>
    <t>HUL10369</t>
  </si>
  <si>
    <t>HUL10370</t>
  </si>
  <si>
    <t>HUL10371</t>
  </si>
  <si>
    <t>HUL10372</t>
  </si>
  <si>
    <t>HUL10373</t>
  </si>
  <si>
    <t>HUL10374</t>
  </si>
  <si>
    <t>HUL10375</t>
  </si>
  <si>
    <t>HUL10376</t>
  </si>
  <si>
    <t>HUL10377</t>
  </si>
  <si>
    <t>HUL10378</t>
  </si>
  <si>
    <t>HUL10379</t>
  </si>
  <si>
    <t>HUL10380</t>
  </si>
  <si>
    <t>HUL10381</t>
  </si>
  <si>
    <t>HUL10382</t>
  </si>
  <si>
    <t>HUL10383</t>
  </si>
  <si>
    <t>HUL10384</t>
  </si>
  <si>
    <t>HUL10385</t>
  </si>
  <si>
    <t>HUL10386</t>
  </si>
  <si>
    <t>HUL10387</t>
  </si>
  <si>
    <t>HUL10388</t>
  </si>
  <si>
    <t>HUL10389</t>
  </si>
  <si>
    <t>HUL10390</t>
  </si>
  <si>
    <t>HUL10391</t>
  </si>
  <si>
    <t>HUL10392</t>
  </si>
  <si>
    <t>HUL10393</t>
  </si>
  <si>
    <t>HUL10394</t>
  </si>
  <si>
    <t>HUL10395</t>
  </si>
  <si>
    <t>HUL10396</t>
  </si>
  <si>
    <t>HUL10397</t>
  </si>
  <si>
    <t>HUL10398</t>
  </si>
  <si>
    <t>HUL10399</t>
  </si>
  <si>
    <t>HUL10400</t>
  </si>
  <si>
    <t>HUL10401</t>
  </si>
  <si>
    <t>HUL10402</t>
  </si>
  <si>
    <t>HUL10403</t>
  </si>
  <si>
    <t>HUL10404</t>
  </si>
  <si>
    <t>HUL10405</t>
  </si>
  <si>
    <t>HUL10406</t>
  </si>
  <si>
    <t>HUL10407</t>
  </si>
  <si>
    <t>HUL10408</t>
  </si>
  <si>
    <t>HUL10409</t>
  </si>
  <si>
    <t>HUL10410</t>
  </si>
  <si>
    <t>HUL10411</t>
  </si>
  <si>
    <t>HUL10412</t>
  </si>
  <si>
    <t>HUL10413</t>
  </si>
  <si>
    <t>HUL10414</t>
  </si>
  <si>
    <t>HUL10415</t>
  </si>
  <si>
    <t>HUL10416</t>
  </si>
  <si>
    <t>HUL10417</t>
  </si>
  <si>
    <t>HUL10418</t>
  </si>
  <si>
    <t>HUL10419</t>
  </si>
  <si>
    <t>HUL10420</t>
  </si>
  <si>
    <t>HUL10421</t>
  </si>
  <si>
    <t>HUL10422</t>
  </si>
  <si>
    <t>HUL10423</t>
  </si>
  <si>
    <t>HUL10424</t>
  </si>
  <si>
    <t>HUL10425</t>
  </si>
  <si>
    <t>HUL10426</t>
  </si>
  <si>
    <t>HUL10427</t>
  </si>
  <si>
    <t>HUL10428</t>
  </si>
  <si>
    <t>HUL10429</t>
  </si>
  <si>
    <t>HUL10430</t>
  </si>
  <si>
    <t>HUL10431</t>
  </si>
  <si>
    <t>HUL10432</t>
  </si>
  <si>
    <t>HUL10433</t>
  </si>
  <si>
    <t>HUL10434</t>
  </si>
  <si>
    <t>HUL10435</t>
  </si>
  <si>
    <t>HUL10436</t>
  </si>
  <si>
    <t>HUL10437</t>
  </si>
  <si>
    <t>HUL10438</t>
  </si>
  <si>
    <t>HUL10439</t>
  </si>
  <si>
    <t>HUL10440</t>
  </si>
  <si>
    <t>HUL10441</t>
  </si>
  <si>
    <t>HUL10442</t>
  </si>
  <si>
    <t>HUL10443</t>
  </si>
  <si>
    <t>HUL10444</t>
  </si>
  <si>
    <t>HUL10445</t>
  </si>
  <si>
    <t>HUL10446</t>
  </si>
  <si>
    <t>HUL10447</t>
  </si>
  <si>
    <t>HUL10448</t>
  </si>
  <si>
    <t>HUL10449</t>
  </si>
  <si>
    <t>HUL10450</t>
  </si>
  <si>
    <t>HUL10451</t>
  </si>
  <si>
    <t>HUL10452</t>
  </si>
  <si>
    <t>HUL10453</t>
  </si>
  <si>
    <t>HUL10454</t>
  </si>
  <si>
    <t>HUL10455</t>
  </si>
  <si>
    <t>HUL10456</t>
  </si>
  <si>
    <t>HUL10457</t>
  </si>
  <si>
    <t>HUL10458</t>
  </si>
  <si>
    <t>HUL10459</t>
  </si>
  <si>
    <t>HUL10460</t>
  </si>
  <si>
    <t>HUL10461</t>
  </si>
  <si>
    <t>HUL10462</t>
  </si>
  <si>
    <t>HUL10463</t>
  </si>
  <si>
    <t>HUL10464</t>
  </si>
  <si>
    <t>HUL10465</t>
  </si>
  <si>
    <t>HUL10466</t>
  </si>
  <si>
    <t>HUL10467</t>
  </si>
  <si>
    <t>HUL10468</t>
  </si>
  <si>
    <t>HUL10469</t>
  </si>
  <si>
    <t>HUL10470</t>
  </si>
  <si>
    <t>HUL10471</t>
  </si>
  <si>
    <t>HUL10472</t>
  </si>
  <si>
    <t>HUL10473</t>
  </si>
  <si>
    <t>HUL10474</t>
  </si>
  <si>
    <t>HUL10475</t>
  </si>
  <si>
    <t>HUL10476</t>
  </si>
  <si>
    <t>HUL10477</t>
  </si>
  <si>
    <t>HUL10478</t>
  </si>
  <si>
    <t>HUL10479</t>
  </si>
  <si>
    <t>HUL10480</t>
  </si>
  <si>
    <t>HUL10481</t>
  </si>
  <si>
    <t>HUL10482</t>
  </si>
  <si>
    <t>HUL10483</t>
  </si>
  <si>
    <t>HUL10484</t>
  </si>
  <si>
    <t>HUL10485</t>
  </si>
  <si>
    <t>HUL10486</t>
  </si>
  <si>
    <t>HUL10487</t>
  </si>
  <si>
    <t>HUL10488</t>
  </si>
  <si>
    <t>HUL10489</t>
  </si>
  <si>
    <t>HUL10490</t>
  </si>
  <si>
    <t>HUL10491</t>
  </si>
  <si>
    <t>HUL10492</t>
  </si>
  <si>
    <t>HUL10493</t>
  </si>
  <si>
    <t>HUL10494</t>
  </si>
  <si>
    <t>HUL10495</t>
  </si>
  <si>
    <t>HUL10496</t>
  </si>
  <si>
    <t>HUL10497</t>
  </si>
  <si>
    <t>HUL10498</t>
  </si>
  <si>
    <t>HUL10499</t>
  </si>
  <si>
    <t>HUL10500</t>
  </si>
  <si>
    <t>HUL10501</t>
  </si>
  <si>
    <t>Net_Sales</t>
  </si>
  <si>
    <t>Row Labels</t>
  </si>
  <si>
    <t>Grand Total</t>
  </si>
  <si>
    <t>Sum of Net_Sales</t>
  </si>
  <si>
    <t>Sum of Units_Sold</t>
  </si>
  <si>
    <t>Jan</t>
  </si>
  <si>
    <t>Feb</t>
  </si>
  <si>
    <t>Mar</t>
  </si>
  <si>
    <t>Apr</t>
  </si>
  <si>
    <t>May</t>
  </si>
  <si>
    <t>Jun</t>
  </si>
  <si>
    <t>Jul</t>
  </si>
  <si>
    <t>Aug</t>
  </si>
  <si>
    <t>Sep</t>
  </si>
  <si>
    <t>Oct</t>
  </si>
  <si>
    <t>Nov</t>
  </si>
  <si>
    <t>Dec</t>
  </si>
  <si>
    <t>KPI TOTAL SOLD</t>
  </si>
  <si>
    <t>KPI TOTAL SALES</t>
  </si>
  <si>
    <t>Count of Order_ID2</t>
  </si>
  <si>
    <r>
      <t xml:space="preserve">Dataset ki </t>
    </r>
    <r>
      <rPr>
        <b/>
        <sz val="11"/>
        <color theme="1"/>
        <rFont val="Calibri"/>
        <family val="2"/>
        <scheme val="minor"/>
      </rPr>
      <t>Net_Sales</t>
    </r>
    <r>
      <rPr>
        <sz val="11"/>
        <color theme="1"/>
        <rFont val="Calibri"/>
        <family val="2"/>
        <scheme val="minor"/>
      </rPr>
      <t xml:space="preserve"> ka SUM</t>
    </r>
  </si>
  <si>
    <r>
      <t>Units_Sold</t>
    </r>
    <r>
      <rPr>
        <sz val="11"/>
        <color theme="1"/>
        <rFont val="Calibri"/>
        <family val="2"/>
        <scheme val="minor"/>
      </rPr>
      <t xml:space="preserve"> ka SUM</t>
    </r>
  </si>
  <si>
    <t>Average Sales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</si>
</sst>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4" x14ac:knownFonts="1">
    <font>
      <sz val="11"/>
      <color theme="1"/>
      <name val="Calibri"/>
      <family val="2"/>
      <scheme val="minor"/>
    </font>
    <font>
      <b/>
      <sz val="11"/>
      <name val="Calibri"/>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2" fillId="2" borderId="0" xfId="0" applyFont="1" applyFill="1"/>
    <xf numFmtId="0" fontId="3" fillId="0" borderId="0" xfId="0" applyFont="1"/>
  </cellXfs>
  <cellStyles count="1">
    <cellStyle name="Normal" xfId="0" builtinId="0"/>
  </cellStyles>
  <dxfs count="14">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
    </dxf>
    <dxf>
      <numFmt numFmtId="0" formatCode="General"/>
    </dxf>
    <dxf>
      <numFmt numFmtId="165" formatCode="&quot;₹&quot;\ #,##0.00"/>
    </dxf>
    <dxf>
      <numFmt numFmtId="2" formatCode="0.00"/>
    </dxf>
    <dxf>
      <numFmt numFmtId="2" formatCode="0.00"/>
    </dxf>
    <dxf>
      <numFmt numFmtId="165" formatCode="&quot;₹&quot;\ #,##0.00"/>
    </dxf>
    <dxf>
      <numFmt numFmtId="165" formatCode="&quot;₹&quot;\ #,##0.00"/>
    </dxf>
    <dxf>
      <numFmt numFmtId="165" formatCode="&quot;₹&quot;\ #,##0.0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[HUL_Sales_Analysis_Dashboard.xlsx]Sheet1!PivotTable5</c:name>
    <c:fmtId val="2"/>
  </c:pivotSource>
  <c:chart>
    <c:title>
      <c:tx>
        <c:rich>
          <a:bodyPr rot="0" spcFirstLastPara="1" vertOverflow="ellipsis" vert="horz" wrap="square" anchor="ctr" anchorCtr="1"/>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200" b="0" i="0" u="none" strike="noStrike" cap="none" baseline="0">
                <a:effectLst>
                  <a:outerShdw blurRad="38100" dist="25400" dir="5400000" algn="ctr" rotWithShape="0">
                    <a:srgbClr val="6E747A">
                      <a:alpha val="43000"/>
                    </a:srgbClr>
                  </a:outerShdw>
                </a:effectLst>
              </a:rPr>
              <a:t>📊 </a:t>
            </a:r>
            <a:r>
              <a:rPr lang="en-IN" sz="1200" b="1" i="0" u="none" strike="noStrike" cap="none" baseline="0">
                <a:effectLst>
                  <a:outerShdw blurRad="38100" dist="25400" dir="5400000" algn="ctr" rotWithShape="0">
                    <a:srgbClr val="6E747A">
                      <a:alpha val="43000"/>
                    </a:srgbClr>
                  </a:outerShdw>
                </a:effectLst>
              </a:rPr>
              <a:t>Sales by State</a:t>
            </a:r>
            <a:endParaRPr lang="en-US" sz="1200"/>
          </a:p>
        </c:rich>
      </c:tx>
      <c:layout>
        <c:manualLayout>
          <c:xMode val="edge"/>
          <c:yMode val="edge"/>
          <c:x val="0.43013197202835773"/>
          <c:y val="2.1616809116809119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w="25400" cap="flat" cmpd="sng" algn="ctr">
            <a:solidFill>
              <a:schemeClr val="accent1"/>
            </a:solidFill>
            <a:prstDash val="solid"/>
          </a:ln>
          <a:effectLst/>
          <a:sp3d contourW="25400">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lt1"/>
        </a:solidFill>
        <a:ln w="25400" cap="flat" cmpd="sng" algn="ctr">
          <a:solidFill>
            <a:schemeClr val="accent1"/>
          </a:solidFill>
          <a:prstDash val="solid"/>
        </a:ln>
        <a:effectLst/>
        <a:sp3d contourW="25400">
          <a:contourClr>
            <a:schemeClr val="accent1"/>
          </a:contourClr>
        </a:sp3d>
      </c:spPr>
    </c:backWall>
    <c:plotArea>
      <c:layout/>
      <c:bar3DChart>
        <c:barDir val="bar"/>
        <c:grouping val="clustered"/>
        <c:varyColors val="0"/>
        <c:ser>
          <c:idx val="0"/>
          <c:order val="0"/>
          <c:tx>
            <c:strRef>
              <c:f>Sheet1!$L$3</c:f>
              <c:strCache>
                <c:ptCount val="1"/>
                <c:pt idx="0">
                  <c:v>Total</c:v>
                </c:pt>
              </c:strCache>
            </c:strRef>
          </c:tx>
          <c:spPr>
            <a:solidFill>
              <a:schemeClr val="tx2"/>
            </a:solidFill>
            <a:ln w="25400" cap="flat" cmpd="sng" algn="ctr">
              <a:solidFill>
                <a:schemeClr val="accent1"/>
              </a:solidFill>
              <a:prstDash val="solid"/>
            </a:ln>
            <a:effectLst/>
            <a:sp3d contourW="25400">
              <a:contourClr>
                <a:schemeClr val="accent1"/>
              </a:contourClr>
            </a:sp3d>
          </c:spPr>
          <c:invertIfNegative val="0"/>
          <c:cat>
            <c:strRef>
              <c:f>Sheet1!$K$4:$K$13</c:f>
              <c:strCache>
                <c:ptCount val="9"/>
                <c:pt idx="0">
                  <c:v>Delhi</c:v>
                </c:pt>
                <c:pt idx="1">
                  <c:v>Gujarat</c:v>
                </c:pt>
                <c:pt idx="2">
                  <c:v>Karnataka</c:v>
                </c:pt>
                <c:pt idx="3">
                  <c:v>Maharashtra</c:v>
                </c:pt>
                <c:pt idx="4">
                  <c:v>Rajasthan</c:v>
                </c:pt>
                <c:pt idx="5">
                  <c:v>Tamil Nadu</c:v>
                </c:pt>
                <c:pt idx="6">
                  <c:v>Telangana</c:v>
                </c:pt>
                <c:pt idx="7">
                  <c:v>Uttar Pradesh</c:v>
                </c:pt>
                <c:pt idx="8">
                  <c:v>West Bengal</c:v>
                </c:pt>
              </c:strCache>
            </c:strRef>
          </c:cat>
          <c:val>
            <c:numRef>
              <c:f>Sheet1!$L$4:$L$13</c:f>
              <c:numCache>
                <c:formatCode>General</c:formatCode>
                <c:ptCount val="9"/>
                <c:pt idx="0">
                  <c:v>89399.310499999992</c:v>
                </c:pt>
                <c:pt idx="1">
                  <c:v>118595.01549999998</c:v>
                </c:pt>
                <c:pt idx="2">
                  <c:v>86672.912999999971</c:v>
                </c:pt>
                <c:pt idx="3">
                  <c:v>195100.31150000001</c:v>
                </c:pt>
                <c:pt idx="4">
                  <c:v>116760.54400000002</c:v>
                </c:pt>
                <c:pt idx="5">
                  <c:v>111836.477</c:v>
                </c:pt>
                <c:pt idx="6">
                  <c:v>103439.07550000002</c:v>
                </c:pt>
                <c:pt idx="7">
                  <c:v>293503.924</c:v>
                </c:pt>
                <c:pt idx="8">
                  <c:v>85995.758500000011</c:v>
                </c:pt>
              </c:numCache>
            </c:numRef>
          </c:val>
          <c:extLst>
            <c:ext xmlns:c16="http://schemas.microsoft.com/office/drawing/2014/chart" uri="{C3380CC4-5D6E-409C-BE32-E72D297353CC}">
              <c16:uniqueId val="{00000000-9F77-4A76-872F-C6D6354AC07D}"/>
            </c:ext>
          </c:extLst>
        </c:ser>
        <c:dLbls>
          <c:showLegendKey val="0"/>
          <c:showVal val="0"/>
          <c:showCatName val="0"/>
          <c:showSerName val="0"/>
          <c:showPercent val="0"/>
          <c:showBubbleSize val="0"/>
        </c:dLbls>
        <c:gapWidth val="150"/>
        <c:shape val="box"/>
        <c:axId val="1300129391"/>
        <c:axId val="1051160047"/>
        <c:axId val="0"/>
      </c:bar3DChart>
      <c:catAx>
        <c:axId val="130012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51160047"/>
        <c:crosses val="autoZero"/>
        <c:auto val="1"/>
        <c:lblAlgn val="ctr"/>
        <c:lblOffset val="100"/>
        <c:noMultiLvlLbl val="0"/>
      </c:catAx>
      <c:valAx>
        <c:axId val="105116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30012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[HUL_Sales_Analysis_Dashboard.xlsx]Sheet1!PivotTable6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a:t>
            </a:r>
            <a:r>
              <a:rPr lang="en-IN" sz="1400" b="0" i="0" u="none" strike="noStrike" cap="none" spc="0" baseline="0">
                <a:ln w="0"/>
                <a:solidFill>
                  <a:schemeClr val="accent1"/>
                </a:solidFill>
                <a:effectLst>
                  <a:outerShdw blurRad="38100" dist="25400" dir="5400000" algn="ctr" rotWithShape="0">
                    <a:srgbClr val="6E747A">
                      <a:alpha val="43000"/>
                    </a:srgbClr>
                  </a:outerShdw>
                </a:effectLst>
              </a:rPr>
              <a:t>Top Products by Sales</a:t>
            </a:r>
            <a:endParaRPr lang="en-US"/>
          </a:p>
        </c:rich>
      </c:tx>
      <c:layout>
        <c:manualLayout>
          <c:xMode val="edge"/>
          <c:yMode val="edge"/>
          <c:x val="0.42461637344325237"/>
          <c:y val="2.083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w="25400" cap="flat" cmpd="sng" algn="ctr">
            <a:solidFill>
              <a:schemeClr val="accent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Sheet1!$I$19</c:f>
              <c:strCache>
                <c:ptCount val="1"/>
                <c:pt idx="0">
                  <c:v>Total</c:v>
                </c:pt>
              </c:strCache>
            </c:strRef>
          </c:tx>
          <c:spPr>
            <a:solidFill>
              <a:schemeClr val="tx2"/>
            </a:solidFill>
            <a:ln w="25400" cap="flat" cmpd="sng" algn="ctr">
              <a:solidFill>
                <a:schemeClr val="accent1"/>
              </a:solidFill>
              <a:prstDash val="solid"/>
            </a:ln>
            <a:effectLst/>
          </c:spPr>
          <c:invertIfNegative val="0"/>
          <c:cat>
            <c:strRef>
              <c:f>Sheet1!$H$20:$H$36</c:f>
              <c:strCache>
                <c:ptCount val="16"/>
                <c:pt idx="0">
                  <c:v>Boost</c:v>
                </c:pt>
                <c:pt idx="1">
                  <c:v>Clinic Plus Shampoo</c:v>
                </c:pt>
                <c:pt idx="2">
                  <c:v>Domex Toilet Cleaner</c:v>
                </c:pt>
                <c:pt idx="3">
                  <c:v>Dove Shampoo</c:v>
                </c:pt>
                <c:pt idx="4">
                  <c:v>Dove Soap</c:v>
                </c:pt>
                <c:pt idx="5">
                  <c:v>Hellmann's Mayonnaise</c:v>
                </c:pt>
                <c:pt idx="6">
                  <c:v>Horlicks</c:v>
                </c:pt>
                <c:pt idx="7">
                  <c:v>Kissan Tomato Ketchup</c:v>
                </c:pt>
                <c:pt idx="8">
                  <c:v>Lifebuoy Handwash</c:v>
                </c:pt>
                <c:pt idx="9">
                  <c:v>Lux Soap</c:v>
                </c:pt>
                <c:pt idx="10">
                  <c:v>Pears Soap</c:v>
                </c:pt>
                <c:pt idx="11">
                  <c:v>Pond's Face Wash</c:v>
                </c:pt>
                <c:pt idx="12">
                  <c:v>Rin Detergent</c:v>
                </c:pt>
                <c:pt idx="13">
                  <c:v>Sunsilk Shampoo</c:v>
                </c:pt>
                <c:pt idx="14">
                  <c:v>Surf Excel Matic</c:v>
                </c:pt>
                <c:pt idx="15">
                  <c:v>Vim Dishwash</c:v>
                </c:pt>
              </c:strCache>
            </c:strRef>
          </c:cat>
          <c:val>
            <c:numRef>
              <c:f>Sheet1!$I$20:$I$36</c:f>
              <c:numCache>
                <c:formatCode>General</c:formatCode>
                <c:ptCount val="16"/>
                <c:pt idx="0">
                  <c:v>126491.255</c:v>
                </c:pt>
                <c:pt idx="1">
                  <c:v>51573.598499999993</c:v>
                </c:pt>
                <c:pt idx="2">
                  <c:v>55986.006499999981</c:v>
                </c:pt>
                <c:pt idx="3">
                  <c:v>105266.85649999999</c:v>
                </c:pt>
                <c:pt idx="4">
                  <c:v>40437.758000000002</c:v>
                </c:pt>
                <c:pt idx="5">
                  <c:v>70670.997499999998</c:v>
                </c:pt>
                <c:pt idx="6">
                  <c:v>109638.66750000001</c:v>
                </c:pt>
                <c:pt idx="7">
                  <c:v>72767.494000000006</c:v>
                </c:pt>
                <c:pt idx="8">
                  <c:v>39237.111999999994</c:v>
                </c:pt>
                <c:pt idx="9">
                  <c:v>28566.085999999996</c:v>
                </c:pt>
                <c:pt idx="10">
                  <c:v>33551.916499999999</c:v>
                </c:pt>
                <c:pt idx="11">
                  <c:v>91092.83199999998</c:v>
                </c:pt>
                <c:pt idx="12">
                  <c:v>58020.159000000007</c:v>
                </c:pt>
                <c:pt idx="13">
                  <c:v>124975.36700000003</c:v>
                </c:pt>
                <c:pt idx="14">
                  <c:v>141504.86549999996</c:v>
                </c:pt>
                <c:pt idx="15">
                  <c:v>51522.358</c:v>
                </c:pt>
              </c:numCache>
            </c:numRef>
          </c:val>
          <c:extLst>
            <c:ext xmlns:c16="http://schemas.microsoft.com/office/drawing/2014/chart" uri="{C3380CC4-5D6E-409C-BE32-E72D297353CC}">
              <c16:uniqueId val="{00000000-CBAB-43B1-94E7-4BD1B162FC37}"/>
            </c:ext>
          </c:extLst>
        </c:ser>
        <c:dLbls>
          <c:showLegendKey val="0"/>
          <c:showVal val="0"/>
          <c:showCatName val="0"/>
          <c:showSerName val="0"/>
          <c:showPercent val="0"/>
          <c:showBubbleSize val="0"/>
        </c:dLbls>
        <c:gapWidth val="182"/>
        <c:axId val="1300706383"/>
        <c:axId val="1051281007"/>
      </c:barChart>
      <c:catAx>
        <c:axId val="130070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51281007"/>
        <c:crosses val="autoZero"/>
        <c:auto val="1"/>
        <c:lblAlgn val="ctr"/>
        <c:lblOffset val="100"/>
        <c:noMultiLvlLbl val="0"/>
      </c:catAx>
      <c:valAx>
        <c:axId val="1051281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300706383"/>
        <c:crosses val="autoZero"/>
        <c:crossBetween val="between"/>
      </c:valAx>
      <c:spPr>
        <a:solidFill>
          <a:schemeClr val="lt1"/>
        </a:solidFill>
        <a:ln w="25400" cap="flat" cmpd="sng" algn="ctr">
          <a:solidFill>
            <a:schemeClr val="accent5"/>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[HUL_Sales_Analysis_Dashboard.xlsx]Sheet1!PivotTable8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accent1"/>
                </a:solidFill>
                <a:effectLst>
                  <a:outerShdw blurRad="38100" dist="25400" dir="5400000" algn="ctr" rotWithShape="0">
                    <a:srgbClr val="6E747A">
                      <a:alpha val="43000"/>
                    </a:srgbClr>
                  </a:outerShdw>
                </a:effectLst>
              </a:rPr>
              <a:t>📈 Monthly Sales Trend</a:t>
            </a:r>
            <a:endParaRPr lang="en-US"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3859412418933344"/>
          <c:y val="9.80902777777777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flat" cmpd="sng" algn="ctr">
            <a:solidFill>
              <a:schemeClr val="accent1"/>
            </a:solidFill>
            <a:prstDash val="solid"/>
            <a:round/>
          </a:ln>
          <a:effectLst/>
        </c:spPr>
        <c:marker>
          <c:symbol val="circle"/>
          <c:size val="5"/>
          <c:spPr>
            <a:solidFill>
              <a:schemeClr val="tx2"/>
            </a:solidFill>
            <a:ln w="25400" cap="flat" cmpd="sng" algn="ctr">
              <a:solidFill>
                <a:schemeClr val="accent1"/>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Sheet1!$P$20</c:f>
              <c:strCache>
                <c:ptCount val="1"/>
                <c:pt idx="0">
                  <c:v>Total</c:v>
                </c:pt>
              </c:strCache>
            </c:strRef>
          </c:tx>
          <c:spPr>
            <a:ln w="25400" cap="flat" cmpd="sng" algn="ctr">
              <a:solidFill>
                <a:schemeClr val="accent1"/>
              </a:solidFill>
              <a:prstDash val="solid"/>
              <a:round/>
            </a:ln>
            <a:effectLst/>
          </c:spPr>
          <c:marker>
            <c:symbol val="circle"/>
            <c:size val="5"/>
            <c:spPr>
              <a:solidFill>
                <a:schemeClr val="tx2"/>
              </a:solidFill>
              <a:ln w="25400" cap="flat" cmpd="sng" algn="ctr">
                <a:solidFill>
                  <a:schemeClr val="accent1"/>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Sheet1!$O$21:$O$33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Sheet1!$P$21:$P$33</c:f>
              <c:numCache>
                <c:formatCode>"₹"\ #,##0.00</c:formatCode>
                <c:ptCount val="12"/>
                <c:pt idx="0">
                  <c:v>98570.588499999983</c:v>
                </c:pt>
                <c:pt idx="1">
                  <c:v>73461.224500000011</c:v>
                </c:pt>
                <c:pt idx="2">
                  <c:v>119209.87500000003</c:v>
                </c:pt>
                <c:pt idx="3">
                  <c:v>107119.103</c:v>
                </c:pt>
                <c:pt idx="4">
                  <c:v>99500.087499999994</c:v>
                </c:pt>
                <c:pt idx="5">
                  <c:v>108257.9985</c:v>
                </c:pt>
                <c:pt idx="6">
                  <c:v>96500.993999999992</c:v>
                </c:pt>
                <c:pt idx="7">
                  <c:v>98065.645000000004</c:v>
                </c:pt>
                <c:pt idx="8">
                  <c:v>71809.449500000002</c:v>
                </c:pt>
                <c:pt idx="9">
                  <c:v>81497.725999999995</c:v>
                </c:pt>
                <c:pt idx="10">
                  <c:v>109610.52750000001</c:v>
                </c:pt>
                <c:pt idx="11">
                  <c:v>137700.11050000001</c:v>
                </c:pt>
              </c:numCache>
            </c:numRef>
          </c:val>
          <c:smooth val="0"/>
          <c:extLst>
            <c:ext xmlns:c16="http://schemas.microsoft.com/office/drawing/2014/chart" uri="{C3380CC4-5D6E-409C-BE32-E72D297353CC}">
              <c16:uniqueId val="{00000000-3F29-4860-92CD-EBF706F61E9D}"/>
            </c:ext>
          </c:extLst>
        </c:ser>
        <c:dLbls>
          <c:dLblPos val="t"/>
          <c:showLegendKey val="0"/>
          <c:showVal val="1"/>
          <c:showCatName val="0"/>
          <c:showSerName val="0"/>
          <c:showPercent val="0"/>
          <c:showBubbleSize val="0"/>
        </c:dLbls>
        <c:marker val="1"/>
        <c:smooth val="0"/>
        <c:axId val="1328536079"/>
        <c:axId val="1041861455"/>
      </c:lineChart>
      <c:catAx>
        <c:axId val="132853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41861455"/>
        <c:crosses val="autoZero"/>
        <c:auto val="1"/>
        <c:lblAlgn val="ctr"/>
        <c:lblOffset val="100"/>
        <c:noMultiLvlLbl val="0"/>
      </c:catAx>
      <c:valAx>
        <c:axId val="1041861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32853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[HUL_Sales_Analysis_Dashboard.xlsx]Sheet1!PivotTable7</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solidFill>
          <a:ln w="25400" cap="flat" cmpd="sng" algn="ctr">
            <a:solidFill>
              <a:schemeClr val="accent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7454775088371"/>
          <c:y val="0.18314850427350426"/>
          <c:w val="0.62976411425402967"/>
          <c:h val="0.65056588319088315"/>
        </c:manualLayout>
      </c:layout>
      <c:barChart>
        <c:barDir val="col"/>
        <c:grouping val="clustered"/>
        <c:varyColors val="0"/>
        <c:ser>
          <c:idx val="0"/>
          <c:order val="0"/>
          <c:tx>
            <c:strRef>
              <c:f>Sheet1!$L$19</c:f>
              <c:strCache>
                <c:ptCount val="1"/>
                <c:pt idx="0">
                  <c:v>Sum of Net_Sales</c:v>
                </c:pt>
              </c:strCache>
            </c:strRef>
          </c:tx>
          <c:spPr>
            <a:solidFill>
              <a:schemeClr val="tx2"/>
            </a:solidFill>
            <a:ln w="25400" cap="flat" cmpd="sng" algn="ctr">
              <a:solidFill>
                <a:schemeClr val="accent1"/>
              </a:solidFill>
              <a:prstDash val="solid"/>
            </a:ln>
            <a:effectLst/>
          </c:spPr>
          <c:invertIfNegative val="0"/>
          <c:cat>
            <c:strRef>
              <c:f>Sheet1!$K$20:$K$24</c:f>
              <c:strCache>
                <c:ptCount val="4"/>
                <c:pt idx="0">
                  <c:v>Distributor</c:v>
                </c:pt>
                <c:pt idx="1">
                  <c:v>E-Commerce</c:v>
                </c:pt>
                <c:pt idx="2">
                  <c:v>General Trade</c:v>
                </c:pt>
                <c:pt idx="3">
                  <c:v>Modern Trade</c:v>
                </c:pt>
              </c:strCache>
            </c:strRef>
          </c:cat>
          <c:val>
            <c:numRef>
              <c:f>Sheet1!$L$20:$L$24</c:f>
              <c:numCache>
                <c:formatCode>General</c:formatCode>
                <c:ptCount val="4"/>
                <c:pt idx="0">
                  <c:v>316086.83199999994</c:v>
                </c:pt>
                <c:pt idx="1">
                  <c:v>282369.65650000004</c:v>
                </c:pt>
                <c:pt idx="2">
                  <c:v>274683.23100000015</c:v>
                </c:pt>
                <c:pt idx="3">
                  <c:v>328163.61</c:v>
                </c:pt>
              </c:numCache>
            </c:numRef>
          </c:val>
          <c:extLst>
            <c:ext xmlns:c16="http://schemas.microsoft.com/office/drawing/2014/chart" uri="{C3380CC4-5D6E-409C-BE32-E72D297353CC}">
              <c16:uniqueId val="{00000000-17D7-4F61-B98A-1F7CEED161BD}"/>
            </c:ext>
          </c:extLst>
        </c:ser>
        <c:ser>
          <c:idx val="1"/>
          <c:order val="1"/>
          <c:tx>
            <c:strRef>
              <c:f>Sheet1!$M$19</c:f>
              <c:strCache>
                <c:ptCount val="1"/>
                <c:pt idx="0">
                  <c:v>Sum of Units_Sold</c:v>
                </c:pt>
              </c:strCache>
            </c:strRef>
          </c:tx>
          <c:spPr>
            <a:solidFill>
              <a:schemeClr val="accent2"/>
            </a:solidFill>
            <a:ln>
              <a:noFill/>
            </a:ln>
            <a:effectLst/>
          </c:spPr>
          <c:invertIfNegative val="0"/>
          <c:cat>
            <c:strRef>
              <c:f>Sheet1!$K$20:$K$24</c:f>
              <c:strCache>
                <c:ptCount val="4"/>
                <c:pt idx="0">
                  <c:v>Distributor</c:v>
                </c:pt>
                <c:pt idx="1">
                  <c:v>E-Commerce</c:v>
                </c:pt>
                <c:pt idx="2">
                  <c:v>General Trade</c:v>
                </c:pt>
                <c:pt idx="3">
                  <c:v>Modern Trade</c:v>
                </c:pt>
              </c:strCache>
            </c:strRef>
          </c:cat>
          <c:val>
            <c:numRef>
              <c:f>Sheet1!$M$20:$M$24</c:f>
              <c:numCache>
                <c:formatCode>General</c:formatCode>
                <c:ptCount val="4"/>
                <c:pt idx="0">
                  <c:v>2135</c:v>
                </c:pt>
                <c:pt idx="1">
                  <c:v>1873</c:v>
                </c:pt>
                <c:pt idx="2">
                  <c:v>1951</c:v>
                </c:pt>
                <c:pt idx="3">
                  <c:v>2119</c:v>
                </c:pt>
              </c:numCache>
            </c:numRef>
          </c:val>
          <c:extLst>
            <c:ext xmlns:c16="http://schemas.microsoft.com/office/drawing/2014/chart" uri="{C3380CC4-5D6E-409C-BE32-E72D297353CC}">
              <c16:uniqueId val="{00000001-17D7-4F61-B98A-1F7CEED161BD}"/>
            </c:ext>
          </c:extLst>
        </c:ser>
        <c:dLbls>
          <c:showLegendKey val="0"/>
          <c:showVal val="0"/>
          <c:showCatName val="0"/>
          <c:showSerName val="0"/>
          <c:showPercent val="0"/>
          <c:showBubbleSize val="0"/>
        </c:dLbls>
        <c:gapWidth val="219"/>
        <c:overlap val="-27"/>
        <c:axId val="1300710095"/>
        <c:axId val="1041860495"/>
      </c:barChart>
      <c:catAx>
        <c:axId val="13007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41860495"/>
        <c:crosses val="autoZero"/>
        <c:auto val="1"/>
        <c:lblAlgn val="ctr"/>
        <c:lblOffset val="100"/>
        <c:noMultiLvlLbl val="0"/>
      </c:catAx>
      <c:valAx>
        <c:axId val="104186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3007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[HUL_Sales_Analysis_Dashboard.xlsx]Sheet1!PivotTable2</c:name>
    <c:fmtId val="9"/>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0" u="none" strike="noStrike" cap="none" spc="0" baseline="0">
                <a:ln w="0"/>
                <a:solidFill>
                  <a:schemeClr val="accent1"/>
                </a:solidFill>
                <a:effectLst>
                  <a:outerShdw blurRad="38100" dist="25400" dir="5400000" algn="ctr" rotWithShape="0">
                    <a:srgbClr val="6E747A">
                      <a:alpha val="43000"/>
                    </a:srgbClr>
                  </a:outerShdw>
                </a:effectLst>
              </a:rPr>
              <a:t>🥧 Sales by Category</a:t>
            </a:r>
            <a:endParaRPr lang="en-US"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37576085341238924"/>
          <c:y val="8.0484330484330499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4.2884990253411304E-2"/>
              <c:y val="-9.8355615291290999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9522545061984204E-2"/>
                  <c:h val="0.10062960407894632"/>
                </c:manualLayout>
              </c15:layout>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1.1454544059185584E-2"/>
              <c:y val="5.595031361261110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2.597478677738382E-2"/>
              <c:y val="9.256488331707780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1056315329004928E-2"/>
              <c:y val="-3.398593302725377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C14-4B4C-9924-64A7B60661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C14-4B4C-9924-64A7B60661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1C14-4B4C-9924-64A7B60661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E-1C14-4B4C-9924-64A7B6066179}"/>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C14-4B4C-9924-64A7B6066179}"/>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1C14-4B4C-9924-64A7B6066179}"/>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C14-4B4C-9924-64A7B6066179}"/>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1C14-4B4C-9924-64A7B6066179}"/>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Sheet1!$H$4:$H$8</c:f>
              <c:strCache>
                <c:ptCount val="4"/>
                <c:pt idx="0">
                  <c:v>Beauty &amp; Personal Care</c:v>
                </c:pt>
                <c:pt idx="1">
                  <c:v>Foods</c:v>
                </c:pt>
                <c:pt idx="2">
                  <c:v>Home Care</c:v>
                </c:pt>
                <c:pt idx="3">
                  <c:v>Nutrition</c:v>
                </c:pt>
              </c:strCache>
            </c:strRef>
          </c:cat>
          <c:val>
            <c:numRef>
              <c:f>Sheet1!$I$4:$I$8</c:f>
              <c:numCache>
                <c:formatCode>General</c:formatCode>
                <c:ptCount val="4"/>
                <c:pt idx="0">
                  <c:v>514701.5264999998</c:v>
                </c:pt>
                <c:pt idx="1">
                  <c:v>143438.49150000003</c:v>
                </c:pt>
                <c:pt idx="2">
                  <c:v>307033.38900000008</c:v>
                </c:pt>
                <c:pt idx="3">
                  <c:v>236129.92249999999</c:v>
                </c:pt>
              </c:numCache>
            </c:numRef>
          </c:val>
          <c:extLst>
            <c:ext xmlns:c16="http://schemas.microsoft.com/office/drawing/2014/chart" uri="{C3380CC4-5D6E-409C-BE32-E72D297353CC}">
              <c16:uniqueId val="{0000000A-1C14-4B4C-9924-64A7B60661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jpe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9</xdr:col>
      <xdr:colOff>34121</xdr:colOff>
      <xdr:row>12</xdr:row>
      <xdr:rowOff>152752</xdr:rowOff>
    </xdr:from>
    <xdr:to>
      <xdr:col>18</xdr:col>
      <xdr:colOff>204450</xdr:colOff>
      <xdr:row>27</xdr:row>
      <xdr:rowOff>2399</xdr:rowOff>
    </xdr:to>
    <xdr:graphicFrame macro="">
      <xdr:nvGraphicFramePr>
        <xdr:cNvPr id="3" name="Chart 2">
          <a:extLst>
            <a:ext uri="{FF2B5EF4-FFF2-40B4-BE49-F238E27FC236}">
              <a16:creationId xmlns:a16="http://schemas.microsoft.com/office/drawing/2014/main" id="{E7C55C49-3A75-4ABC-A298-0AA670C26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600635</xdr:colOff>
      <xdr:row>27</xdr:row>
      <xdr:rowOff>35855</xdr:rowOff>
    </xdr:from>
    <xdr:to>
      <xdr:col>27</xdr:col>
      <xdr:colOff>125505</xdr:colOff>
      <xdr:row>38</xdr:row>
      <xdr:rowOff>170396</xdr:rowOff>
    </xdr:to>
    <xdr:graphicFrame macro="">
      <xdr:nvGraphicFramePr>
        <xdr:cNvPr id="4" name="Chart 3">
          <a:extLst>
            <a:ext uri="{FF2B5EF4-FFF2-40B4-BE49-F238E27FC236}">
              <a16:creationId xmlns:a16="http://schemas.microsoft.com/office/drawing/2014/main" id="{9771F90F-4729-4771-9DD8-C29A7FBC7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44823</xdr:colOff>
      <xdr:row>27</xdr:row>
      <xdr:rowOff>53784</xdr:rowOff>
    </xdr:from>
    <xdr:to>
      <xdr:col>13</xdr:col>
      <xdr:colOff>304800</xdr:colOff>
      <xdr:row>38</xdr:row>
      <xdr:rowOff>188325</xdr:rowOff>
    </xdr:to>
    <xdr:graphicFrame macro="">
      <xdr:nvGraphicFramePr>
        <xdr:cNvPr id="5" name="Chart 4">
          <a:extLst>
            <a:ext uri="{FF2B5EF4-FFF2-40B4-BE49-F238E27FC236}">
              <a16:creationId xmlns:a16="http://schemas.microsoft.com/office/drawing/2014/main" id="{D93E8C7A-4C4E-4A1E-9BF6-94D1B4C1A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364077</xdr:colOff>
      <xdr:row>12</xdr:row>
      <xdr:rowOff>152752</xdr:rowOff>
    </xdr:from>
    <xdr:to>
      <xdr:col>27</xdr:col>
      <xdr:colOff>71717</xdr:colOff>
      <xdr:row>27</xdr:row>
      <xdr:rowOff>2399</xdr:rowOff>
    </xdr:to>
    <xdr:graphicFrame macro="">
      <xdr:nvGraphicFramePr>
        <xdr:cNvPr id="6" name="Chart 5">
          <a:extLst>
            <a:ext uri="{FF2B5EF4-FFF2-40B4-BE49-F238E27FC236}">
              <a16:creationId xmlns:a16="http://schemas.microsoft.com/office/drawing/2014/main" id="{14CA4E16-6FEF-4FA9-B9A9-A9B499A8D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44824</xdr:colOff>
      <xdr:row>12</xdr:row>
      <xdr:rowOff>152752</xdr:rowOff>
    </xdr:from>
    <xdr:to>
      <xdr:col>8</xdr:col>
      <xdr:colOff>484094</xdr:colOff>
      <xdr:row>27</xdr:row>
      <xdr:rowOff>2399</xdr:rowOff>
    </xdr:to>
    <xdr:graphicFrame macro="">
      <xdr:nvGraphicFramePr>
        <xdr:cNvPr id="7" name="Chart 6">
          <a:extLst>
            <a:ext uri="{FF2B5EF4-FFF2-40B4-BE49-F238E27FC236}">
              <a16:creationId xmlns:a16="http://schemas.microsoft.com/office/drawing/2014/main" id="{C3E9B785-DC4C-49C0-9561-DDD04E4D3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29</xdr:col>
      <xdr:colOff>489186</xdr:colOff>
      <xdr:row>4</xdr:row>
      <xdr:rowOff>53788</xdr:rowOff>
    </xdr:to>
    <xdr:sp macro="" textlink="">
      <xdr:nvSpPr>
        <xdr:cNvPr id="8" name="Rectangle 7">
          <a:extLst>
            <a:ext uri="{FF2B5EF4-FFF2-40B4-BE49-F238E27FC236}">
              <a16:creationId xmlns:a16="http://schemas.microsoft.com/office/drawing/2014/main" id="{2B401266-05F2-0A31-5F70-4282E2A928DD}"/>
            </a:ext>
          </a:extLst>
        </xdr:cNvPr>
        <xdr:cNvSpPr/>
      </xdr:nvSpPr>
      <xdr:spPr>
        <a:xfrm>
          <a:off x="0" y="0"/>
          <a:ext cx="18167586" cy="842682"/>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4000" b="1" cap="none" spc="0">
              <a:ln w="0"/>
              <a:solidFill>
                <a:schemeClr val="bg1"/>
              </a:solidFill>
              <a:effectLst>
                <a:outerShdw blurRad="38100" dist="25400" dir="5400000" algn="ctr" rotWithShape="0">
                  <a:srgbClr val="6E747A">
                    <a:alpha val="43000"/>
                  </a:srgbClr>
                </a:outerShdw>
              </a:effectLst>
            </a:rPr>
            <a:t>Sales &amp; Business </a:t>
          </a:r>
          <a:r>
            <a:rPr lang="en-IN" sz="4000" b="1" cap="none" spc="0">
              <a:ln w="0"/>
              <a:solidFill>
                <a:schemeClr val="accent6"/>
              </a:solidFill>
              <a:effectLst>
                <a:outerShdw blurRad="38100" dist="25400" dir="5400000" algn="ctr" rotWithShape="0">
                  <a:srgbClr val="6E747A">
                    <a:alpha val="43000"/>
                  </a:srgbClr>
                </a:outerShdw>
              </a:effectLst>
            </a:rPr>
            <a:t>Insights Dashboard</a:t>
          </a:r>
          <a:endParaRPr lang="en-IN" sz="1100" b="1" cap="none" spc="0">
            <a:ln w="0"/>
            <a:solidFill>
              <a:schemeClr val="accent6"/>
            </a:solidFill>
            <a:effectLst>
              <a:outerShdw blurRad="38100" dist="25400" dir="5400000" algn="ctr" rotWithShape="0">
                <a:srgbClr val="6E747A">
                  <a:alpha val="43000"/>
                </a:srgbClr>
              </a:outerShdw>
            </a:effectLst>
          </a:endParaRPr>
        </a:p>
      </xdr:txBody>
    </xdr:sp>
    <xdr:clientData/>
  </xdr:twoCellAnchor>
  <xdr:twoCellAnchor>
    <xdr:from>
      <xdr:col>2</xdr:col>
      <xdr:colOff>71718</xdr:colOff>
      <xdr:row>4</xdr:row>
      <xdr:rowOff>0</xdr:rowOff>
    </xdr:from>
    <xdr:to>
      <xdr:col>7</xdr:col>
      <xdr:colOff>138953</xdr:colOff>
      <xdr:row>7</xdr:row>
      <xdr:rowOff>126626</xdr:rowOff>
    </xdr:to>
    <xdr:sp macro="" textlink="">
      <xdr:nvSpPr>
        <xdr:cNvPr id="10" name="Rectangle: Rounded Corners 9">
          <a:extLst>
            <a:ext uri="{FF2B5EF4-FFF2-40B4-BE49-F238E27FC236}">
              <a16:creationId xmlns:a16="http://schemas.microsoft.com/office/drawing/2014/main" id="{DEDB5970-5826-9B99-269B-373D33170DC4}"/>
            </a:ext>
          </a:extLst>
        </xdr:cNvPr>
        <xdr:cNvSpPr/>
      </xdr:nvSpPr>
      <xdr:spPr>
        <a:xfrm>
          <a:off x="1290918" y="788894"/>
          <a:ext cx="3115235" cy="7182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NET SALES</a:t>
          </a:r>
        </a:p>
      </xdr:txBody>
    </xdr:sp>
    <xdr:clientData/>
  </xdr:twoCellAnchor>
  <xdr:twoCellAnchor>
    <xdr:from>
      <xdr:col>9</xdr:col>
      <xdr:colOff>493058</xdr:colOff>
      <xdr:row>4</xdr:row>
      <xdr:rowOff>17929</xdr:rowOff>
    </xdr:from>
    <xdr:to>
      <xdr:col>14</xdr:col>
      <xdr:colOff>340657</xdr:colOff>
      <xdr:row>7</xdr:row>
      <xdr:rowOff>108696</xdr:rowOff>
    </xdr:to>
    <xdr:sp macro="" textlink="">
      <xdr:nvSpPr>
        <xdr:cNvPr id="11" name="Rectangle: Rounded Corners 10">
          <a:extLst>
            <a:ext uri="{FF2B5EF4-FFF2-40B4-BE49-F238E27FC236}">
              <a16:creationId xmlns:a16="http://schemas.microsoft.com/office/drawing/2014/main" id="{553C6FAD-9817-418B-A98A-B55308F6D84E}"/>
            </a:ext>
          </a:extLst>
        </xdr:cNvPr>
        <xdr:cNvSpPr/>
      </xdr:nvSpPr>
      <xdr:spPr>
        <a:xfrm>
          <a:off x="5979458" y="806823"/>
          <a:ext cx="2895599" cy="6824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UNITS SOLD</a:t>
          </a:r>
        </a:p>
      </xdr:txBody>
    </xdr:sp>
    <xdr:clientData/>
  </xdr:twoCellAnchor>
  <xdr:twoCellAnchor>
    <xdr:from>
      <xdr:col>19</xdr:col>
      <xdr:colOff>98613</xdr:colOff>
      <xdr:row>4</xdr:row>
      <xdr:rowOff>15128</xdr:rowOff>
    </xdr:from>
    <xdr:to>
      <xdr:col>23</xdr:col>
      <xdr:colOff>481293</xdr:colOff>
      <xdr:row>7</xdr:row>
      <xdr:rowOff>134470</xdr:rowOff>
    </xdr:to>
    <xdr:sp macro="" textlink="">
      <xdr:nvSpPr>
        <xdr:cNvPr id="12" name="Rectangle: Rounded Corners 11">
          <a:extLst>
            <a:ext uri="{FF2B5EF4-FFF2-40B4-BE49-F238E27FC236}">
              <a16:creationId xmlns:a16="http://schemas.microsoft.com/office/drawing/2014/main" id="{528953E5-2A58-4B49-B9FC-A1F53F64BF12}"/>
            </a:ext>
          </a:extLst>
        </xdr:cNvPr>
        <xdr:cNvSpPr/>
      </xdr:nvSpPr>
      <xdr:spPr>
        <a:xfrm>
          <a:off x="11681013" y="804022"/>
          <a:ext cx="2821080" cy="7110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AVG SALES/UNIT </a:t>
          </a:r>
        </a:p>
      </xdr:txBody>
    </xdr:sp>
    <xdr:clientData/>
  </xdr:twoCellAnchor>
  <xdr:twoCellAnchor>
    <xdr:from>
      <xdr:col>3</xdr:col>
      <xdr:colOff>322728</xdr:colOff>
      <xdr:row>5</xdr:row>
      <xdr:rowOff>116540</xdr:rowOff>
    </xdr:from>
    <xdr:to>
      <xdr:col>5</xdr:col>
      <xdr:colOff>430305</xdr:colOff>
      <xdr:row>7</xdr:row>
      <xdr:rowOff>62752</xdr:rowOff>
    </xdr:to>
    <xdr:sp macro="" textlink="Sheet1!Q13">
      <xdr:nvSpPr>
        <xdr:cNvPr id="13" name="TextBox 12">
          <a:extLst>
            <a:ext uri="{FF2B5EF4-FFF2-40B4-BE49-F238E27FC236}">
              <a16:creationId xmlns:a16="http://schemas.microsoft.com/office/drawing/2014/main" id="{558524B6-F03A-96F5-5557-57447642982F}"/>
            </a:ext>
          </a:extLst>
        </xdr:cNvPr>
        <xdr:cNvSpPr txBox="1"/>
      </xdr:nvSpPr>
      <xdr:spPr>
        <a:xfrm>
          <a:off x="2151528" y="1102658"/>
          <a:ext cx="1326777" cy="340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75BB3E-004A-466A-9370-443B8D1995EF}" type="TxLink">
            <a:rPr lang="en-US" sz="1400" b="0" i="0" u="none" strike="noStrike">
              <a:solidFill>
                <a:srgbClr val="000000"/>
              </a:solidFill>
              <a:latin typeface="Calibri"/>
              <a:ea typeface="Calibri"/>
              <a:cs typeface="Calibri"/>
            </a:rPr>
            <a:pPr/>
            <a:t>₹ 12,01,303.33</a:t>
          </a:fld>
          <a:endParaRPr lang="en-IN" sz="1400"/>
        </a:p>
      </xdr:txBody>
    </xdr:sp>
    <xdr:clientData/>
  </xdr:twoCellAnchor>
  <xdr:twoCellAnchor>
    <xdr:from>
      <xdr:col>11</xdr:col>
      <xdr:colOff>394447</xdr:colOff>
      <xdr:row>5</xdr:row>
      <xdr:rowOff>134470</xdr:rowOff>
    </xdr:from>
    <xdr:to>
      <xdr:col>12</xdr:col>
      <xdr:colOff>502025</xdr:colOff>
      <xdr:row>7</xdr:row>
      <xdr:rowOff>26894</xdr:rowOff>
    </xdr:to>
    <xdr:sp macro="" textlink="Sheet1!R13">
      <xdr:nvSpPr>
        <xdr:cNvPr id="14" name="TextBox 13">
          <a:extLst>
            <a:ext uri="{FF2B5EF4-FFF2-40B4-BE49-F238E27FC236}">
              <a16:creationId xmlns:a16="http://schemas.microsoft.com/office/drawing/2014/main" id="{68FA36BD-670A-B488-22E2-58702AFB10C8}"/>
            </a:ext>
          </a:extLst>
        </xdr:cNvPr>
        <xdr:cNvSpPr txBox="1"/>
      </xdr:nvSpPr>
      <xdr:spPr>
        <a:xfrm>
          <a:off x="7100047" y="1120588"/>
          <a:ext cx="717178" cy="286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B24A75-FD13-418F-A26E-E99ACE80A6E3}" type="TxLink">
            <a:rPr lang="en-US" sz="1400" b="0" i="0" u="none" strike="noStrike">
              <a:solidFill>
                <a:srgbClr val="000000"/>
              </a:solidFill>
              <a:latin typeface="Calibri"/>
              <a:ea typeface="Calibri"/>
              <a:cs typeface="Calibri"/>
            </a:rPr>
            <a:pPr/>
            <a:t>8078</a:t>
          </a:fld>
          <a:endParaRPr lang="en-IN" sz="1400"/>
        </a:p>
      </xdr:txBody>
    </xdr:sp>
    <xdr:clientData/>
  </xdr:twoCellAnchor>
  <xdr:twoCellAnchor>
    <xdr:from>
      <xdr:col>20</xdr:col>
      <xdr:colOff>429747</xdr:colOff>
      <xdr:row>5</xdr:row>
      <xdr:rowOff>134470</xdr:rowOff>
    </xdr:from>
    <xdr:to>
      <xdr:col>22</xdr:col>
      <xdr:colOff>242048</xdr:colOff>
      <xdr:row>7</xdr:row>
      <xdr:rowOff>61632</xdr:rowOff>
    </xdr:to>
    <xdr:sp macro="" textlink="Sheet1!Q17">
      <xdr:nvSpPr>
        <xdr:cNvPr id="15" name="TextBox 14">
          <a:extLst>
            <a:ext uri="{FF2B5EF4-FFF2-40B4-BE49-F238E27FC236}">
              <a16:creationId xmlns:a16="http://schemas.microsoft.com/office/drawing/2014/main" id="{641B0AC6-0C7F-437F-1F9E-632FE612385B}"/>
            </a:ext>
          </a:extLst>
        </xdr:cNvPr>
        <xdr:cNvSpPr txBox="1"/>
      </xdr:nvSpPr>
      <xdr:spPr>
        <a:xfrm>
          <a:off x="12621747" y="1120588"/>
          <a:ext cx="1031501" cy="321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781A01-9763-4948-9EE8-E65D3485E747}" type="TxLink">
            <a:rPr lang="en-US" sz="1400" b="0" i="0" u="none" strike="noStrike">
              <a:solidFill>
                <a:srgbClr val="000000"/>
              </a:solidFill>
              <a:latin typeface="Calibri"/>
              <a:ea typeface="Calibri"/>
              <a:cs typeface="Calibri"/>
            </a:rPr>
            <a:pPr/>
            <a:t>₹ 148.71</a:t>
          </a:fld>
          <a:endParaRPr lang="en-IN" sz="1400"/>
        </a:p>
      </xdr:txBody>
    </xdr:sp>
    <xdr:clientData/>
  </xdr:twoCellAnchor>
  <xdr:twoCellAnchor editAs="oneCell">
    <xdr:from>
      <xdr:col>21</xdr:col>
      <xdr:colOff>591671</xdr:colOff>
      <xdr:row>7</xdr:row>
      <xdr:rowOff>143435</xdr:rowOff>
    </xdr:from>
    <xdr:to>
      <xdr:col>27</xdr:col>
      <xdr:colOff>217756</xdr:colOff>
      <xdr:row>12</xdr:row>
      <xdr:rowOff>57318</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4963F55C-71CA-4B8C-B243-DDADA9146A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393271" y="1524000"/>
              <a:ext cx="3283685"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129988</xdr:rowOff>
    </xdr:from>
    <xdr:to>
      <xdr:col>4</xdr:col>
      <xdr:colOff>606600</xdr:colOff>
      <xdr:row>12</xdr:row>
      <xdr:rowOff>43871</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08C06392-EE10-4E3C-AD65-A7E1BB15AD9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510553"/>
              <a:ext cx="3045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42580</xdr:colOff>
      <xdr:row>7</xdr:row>
      <xdr:rowOff>141754</xdr:rowOff>
    </xdr:from>
    <xdr:to>
      <xdr:col>19</xdr:col>
      <xdr:colOff>457200</xdr:colOff>
      <xdr:row>12</xdr:row>
      <xdr:rowOff>55637</xdr:rowOff>
    </xdr:to>
    <mc:AlternateContent xmlns:mc="http://schemas.openxmlformats.org/markup-compatibility/2006" xmlns:a14="http://schemas.microsoft.com/office/drawing/2010/main">
      <mc:Choice Requires="a14">
        <xdr:graphicFrame macro="">
          <xdr:nvGraphicFramePr>
            <xdr:cNvPr id="18" name="Sales_Channel">
              <a:extLst>
                <a:ext uri="{FF2B5EF4-FFF2-40B4-BE49-F238E27FC236}">
                  <a16:creationId xmlns:a16="http://schemas.microsoft.com/office/drawing/2014/main" id="{36E61D6E-D729-4030-9877-11CB2BFFE6B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8576980" y="1522319"/>
              <a:ext cx="346262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319364</xdr:colOff>
      <xdr:row>7</xdr:row>
      <xdr:rowOff>135593</xdr:rowOff>
    </xdr:from>
    <xdr:to>
      <xdr:col>11</xdr:col>
      <xdr:colOff>316364</xdr:colOff>
      <xdr:row>12</xdr:row>
      <xdr:rowOff>49476</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08396979-1080-4D1F-9002-7CF3C7966B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76964" y="1516158"/>
              <a:ext cx="3045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152400</xdr:colOff>
      <xdr:row>12</xdr:row>
      <xdr:rowOff>143436</xdr:rowOff>
    </xdr:from>
    <xdr:to>
      <xdr:col>25</xdr:col>
      <xdr:colOff>197224</xdr:colOff>
      <xdr:row>14</xdr:row>
      <xdr:rowOff>143436</xdr:rowOff>
    </xdr:to>
    <xdr:sp macro="" textlink="">
      <xdr:nvSpPr>
        <xdr:cNvPr id="20" name="TextBox 19">
          <a:extLst>
            <a:ext uri="{FF2B5EF4-FFF2-40B4-BE49-F238E27FC236}">
              <a16:creationId xmlns:a16="http://schemas.microsoft.com/office/drawing/2014/main" id="{1A2B4319-66D3-4E90-1ADB-5389470C54FF}"/>
            </a:ext>
          </a:extLst>
        </xdr:cNvPr>
        <xdr:cNvSpPr txBox="1"/>
      </xdr:nvSpPr>
      <xdr:spPr>
        <a:xfrm>
          <a:off x="13563600" y="2510118"/>
          <a:ext cx="1873624" cy="394447"/>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200" b="0" cap="none" spc="0">
              <a:ln w="0"/>
              <a:solidFill>
                <a:schemeClr val="accent1"/>
              </a:solidFill>
              <a:effectLst>
                <a:outerShdw blurRad="38100" dist="25400" dir="5400000" algn="ctr" rotWithShape="0">
                  <a:srgbClr val="6E747A">
                    <a:alpha val="43000"/>
                  </a:srgbClr>
                </a:outerShdw>
              </a:effectLst>
            </a:rPr>
            <a:t>📊 Sales by Sales Channel</a:t>
          </a:r>
        </a:p>
      </xdr:txBody>
    </xdr:sp>
    <xdr:clientData/>
  </xdr:twoCellAnchor>
  <xdr:twoCellAnchor editAs="oneCell">
    <xdr:from>
      <xdr:col>19</xdr:col>
      <xdr:colOff>233082</xdr:colOff>
      <xdr:row>4</xdr:row>
      <xdr:rowOff>134471</xdr:rowOff>
    </xdr:from>
    <xdr:to>
      <xdr:col>20</xdr:col>
      <xdr:colOff>170327</xdr:colOff>
      <xdr:row>7</xdr:row>
      <xdr:rowOff>89645</xdr:rowOff>
    </xdr:to>
    <xdr:pic>
      <xdr:nvPicPr>
        <xdr:cNvPr id="9" name="Graphic 8" descr="Bar graph with upward trend with solid fill">
          <a:extLst>
            <a:ext uri="{FF2B5EF4-FFF2-40B4-BE49-F238E27FC236}">
              <a16:creationId xmlns:a16="http://schemas.microsoft.com/office/drawing/2014/main" id="{1E2A6F10-F600-B8E2-42FF-D426F2566F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815482" y="923365"/>
          <a:ext cx="546845" cy="546845"/>
        </a:xfrm>
        <a:prstGeom prst="rect">
          <a:avLst/>
        </a:prstGeom>
      </xdr:spPr>
    </xdr:pic>
    <xdr:clientData/>
  </xdr:twoCellAnchor>
  <xdr:twoCellAnchor editAs="oneCell">
    <xdr:from>
      <xdr:col>0</xdr:col>
      <xdr:colOff>0</xdr:colOff>
      <xdr:row>0</xdr:row>
      <xdr:rowOff>0</xdr:rowOff>
    </xdr:from>
    <xdr:to>
      <xdr:col>1</xdr:col>
      <xdr:colOff>600637</xdr:colOff>
      <xdr:row>4</xdr:row>
      <xdr:rowOff>17930</xdr:rowOff>
    </xdr:to>
    <xdr:pic>
      <xdr:nvPicPr>
        <xdr:cNvPr id="22" name="Picture 21">
          <a:extLst>
            <a:ext uri="{FF2B5EF4-FFF2-40B4-BE49-F238E27FC236}">
              <a16:creationId xmlns:a16="http://schemas.microsoft.com/office/drawing/2014/main" id="{A3E93E0D-00D7-106D-160F-3971E0BC6A9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210237" cy="806824"/>
        </a:xfrm>
        <a:prstGeom prst="rect">
          <a:avLst/>
        </a:prstGeom>
        <a:solidFill>
          <a:schemeClr val="bg1"/>
        </a:solidFill>
      </xdr:spPr>
    </xdr:pic>
    <xdr:clientData/>
  </xdr:twoCellAnchor>
  <xdr:twoCellAnchor editAs="oneCell">
    <xdr:from>
      <xdr:col>21</xdr:col>
      <xdr:colOff>121478</xdr:colOff>
      <xdr:row>0</xdr:row>
      <xdr:rowOff>1</xdr:rowOff>
    </xdr:from>
    <xdr:to>
      <xdr:col>27</xdr:col>
      <xdr:colOff>252956</xdr:colOff>
      <xdr:row>4</xdr:row>
      <xdr:rowOff>80682</xdr:rowOff>
    </xdr:to>
    <xdr:pic>
      <xdr:nvPicPr>
        <xdr:cNvPr id="26" name="Picture 25">
          <a:extLst>
            <a:ext uri="{FF2B5EF4-FFF2-40B4-BE49-F238E27FC236}">
              <a16:creationId xmlns:a16="http://schemas.microsoft.com/office/drawing/2014/main" id="{6F5262AB-B217-F541-0A0D-1579DD10F23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23078" y="1"/>
          <a:ext cx="3789078" cy="869575"/>
        </a:xfrm>
        <a:prstGeom prst="rect">
          <a:avLst/>
        </a:prstGeom>
        <a:ln>
          <a:noFill/>
        </a:ln>
        <a:effectLst>
          <a:softEdge rad="112500"/>
        </a:effectLst>
      </xdr:spPr>
    </xdr:pic>
    <xdr:clientData/>
  </xdr:twoCellAnchor>
  <xdr:twoCellAnchor editAs="oneCell">
    <xdr:from>
      <xdr:col>2</xdr:col>
      <xdr:colOff>233083</xdr:colOff>
      <xdr:row>4</xdr:row>
      <xdr:rowOff>80683</xdr:rowOff>
    </xdr:from>
    <xdr:to>
      <xdr:col>3</xdr:col>
      <xdr:colOff>242047</xdr:colOff>
      <xdr:row>7</xdr:row>
      <xdr:rowOff>107576</xdr:rowOff>
    </xdr:to>
    <xdr:pic>
      <xdr:nvPicPr>
        <xdr:cNvPr id="28" name="Graphic 27" descr="Dollar with solid fill">
          <a:extLst>
            <a:ext uri="{FF2B5EF4-FFF2-40B4-BE49-F238E27FC236}">
              <a16:creationId xmlns:a16="http://schemas.microsoft.com/office/drawing/2014/main" id="{AC4B90C0-369F-EC4F-7D07-3AE6B2DB4C4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52283" y="869577"/>
          <a:ext cx="618564" cy="618564"/>
        </a:xfrm>
        <a:prstGeom prst="rect">
          <a:avLst/>
        </a:prstGeom>
      </xdr:spPr>
    </xdr:pic>
    <xdr:clientData/>
  </xdr:twoCellAnchor>
  <xdr:twoCellAnchor editAs="oneCell">
    <xdr:from>
      <xdr:col>10</xdr:col>
      <xdr:colOff>26892</xdr:colOff>
      <xdr:row>4</xdr:row>
      <xdr:rowOff>116541</xdr:rowOff>
    </xdr:from>
    <xdr:to>
      <xdr:col>10</xdr:col>
      <xdr:colOff>519954</xdr:colOff>
      <xdr:row>7</xdr:row>
      <xdr:rowOff>17932</xdr:rowOff>
    </xdr:to>
    <xdr:pic>
      <xdr:nvPicPr>
        <xdr:cNvPr id="30" name="Graphic 29" descr="Rocket with solid fill">
          <a:extLst>
            <a:ext uri="{FF2B5EF4-FFF2-40B4-BE49-F238E27FC236}">
              <a16:creationId xmlns:a16="http://schemas.microsoft.com/office/drawing/2014/main" id="{41559F05-9ED7-706F-C9D2-A5AA58CF37E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2892" y="905435"/>
          <a:ext cx="493062" cy="493062"/>
        </a:xfrm>
        <a:prstGeom prst="rect">
          <a:avLst/>
        </a:prstGeom>
      </xdr:spPr>
    </xdr:pic>
    <xdr:clientData/>
  </xdr:twoCellAnchor>
  <xdr:twoCellAnchor editAs="oneCell">
    <xdr:from>
      <xdr:col>4</xdr:col>
      <xdr:colOff>475128</xdr:colOff>
      <xdr:row>0</xdr:row>
      <xdr:rowOff>0</xdr:rowOff>
    </xdr:from>
    <xdr:to>
      <xdr:col>6</xdr:col>
      <xdr:colOff>53788</xdr:colOff>
      <xdr:row>4</xdr:row>
      <xdr:rowOff>8966</xdr:rowOff>
    </xdr:to>
    <xdr:pic>
      <xdr:nvPicPr>
        <xdr:cNvPr id="32" name="Graphic 31" descr="Bar graph with upward trend with solid fill">
          <a:extLst>
            <a:ext uri="{FF2B5EF4-FFF2-40B4-BE49-F238E27FC236}">
              <a16:creationId xmlns:a16="http://schemas.microsoft.com/office/drawing/2014/main" id="{499A5FA3-B319-BA80-DD0E-6BF43360A7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13528" y="0"/>
          <a:ext cx="797860" cy="797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verma" refreshedDate="46286.888031134258" createdVersion="8" refreshedVersion="8" minRefreshableVersion="3" recordCount="500" xr:uid="{E8FFD4C2-8B65-47F0-9F23-1615D4984F83}">
  <cacheSource type="worksheet">
    <worksheetSource name="Table1"/>
  </cacheSource>
  <cacheFields count="15">
    <cacheField name="Order_ID" numFmtId="0">
      <sharedItems/>
    </cacheField>
    <cacheField name="Order_Date" numFmtId="164">
      <sharedItems containsSemiMixedTypes="0" containsNonDate="0" containsDate="1" containsString="0" minDate="2025-01-01T00:00:00" maxDate="2026-01-01T00:00:00" count="272">
        <d v="2025-04-13T00:00:00"/>
        <d v="2025-12-26T00:00:00"/>
        <d v="2025-07-11T00:00:00"/>
        <d v="2025-02-18T00:00:00"/>
        <d v="2025-12-30T00:00:00"/>
        <d v="2025-11-25T00:00:00"/>
        <d v="2025-09-22T00:00:00"/>
        <d v="2025-09-21T00:00:00"/>
        <d v="2025-01-02T00:00:00"/>
        <d v="2025-08-06T00:00:00"/>
        <d v="2025-07-09T00:00:00"/>
        <d v="2025-08-05T00:00:00"/>
        <d v="2025-03-06T00:00:00"/>
        <d v="2025-03-22T00:00:00"/>
        <d v="2025-02-10T00:00:00"/>
        <d v="2025-04-09T00:00:00"/>
        <d v="2025-05-11T00:00:00"/>
        <d v="2025-07-26T00:00:00"/>
        <d v="2025-02-21T00:00:00"/>
        <d v="2025-01-29T00:00:00"/>
        <d v="2025-02-14T00:00:00"/>
        <d v="2025-12-06T00:00:00"/>
        <d v="2025-10-10T00:00:00"/>
        <d v="2025-05-17T00:00:00"/>
        <d v="2025-06-09T00:00:00"/>
        <d v="2025-10-22T00:00:00"/>
        <d v="2025-04-23T00:00:00"/>
        <d v="2025-05-06T00:00:00"/>
        <d v="2025-07-22T00:00:00"/>
        <d v="2025-04-08T00:00:00"/>
        <d v="2025-05-04T00:00:00"/>
        <d v="2025-12-12T00:00:00"/>
        <d v="2025-03-16T00:00:00"/>
        <d v="2025-04-22T00:00:00"/>
        <d v="2025-07-13T00:00:00"/>
        <d v="2025-10-16T00:00:00"/>
        <d v="2025-06-25T00:00:00"/>
        <d v="2025-02-20T00:00:00"/>
        <d v="2025-10-11T00:00:00"/>
        <d v="2025-08-21T00:00:00"/>
        <d v="2025-07-07T00:00:00"/>
        <d v="2025-09-13T00:00:00"/>
        <d v="2025-10-15T00:00:00"/>
        <d v="2025-09-30T00:00:00"/>
        <d v="2025-06-19T00:00:00"/>
        <d v="2025-11-09T00:00:00"/>
        <d v="2025-05-23T00:00:00"/>
        <d v="2025-03-04T00:00:00"/>
        <d v="2025-11-22T00:00:00"/>
        <d v="2025-04-18T00:00:00"/>
        <d v="2025-11-07T00:00:00"/>
        <d v="2025-05-25T00:00:00"/>
        <d v="2025-04-27T00:00:00"/>
        <d v="2025-05-02T00:00:00"/>
        <d v="2025-09-29T00:00:00"/>
        <d v="2025-03-17T00:00:00"/>
        <d v="2025-03-10T00:00:00"/>
        <d v="2025-12-07T00:00:00"/>
        <d v="2025-09-03T00:00:00"/>
        <d v="2025-04-06T00:00:00"/>
        <d v="2025-06-28T00:00:00"/>
        <d v="2025-02-12T00:00:00"/>
        <d v="2025-02-04T00:00:00"/>
        <d v="2025-04-25T00:00:00"/>
        <d v="2025-06-26T00:00:00"/>
        <d v="2025-09-25T00:00:00"/>
        <d v="2025-03-03T00:00:00"/>
        <d v="2025-12-05T00:00:00"/>
        <d v="2025-02-22T00:00:00"/>
        <d v="2025-05-13T00:00:00"/>
        <d v="2025-01-09T00:00:00"/>
        <d v="2025-06-17T00:00:00"/>
        <d v="2025-06-14T00:00:00"/>
        <d v="2025-11-23T00:00:00"/>
        <d v="2025-06-22T00:00:00"/>
        <d v="2025-12-27T00:00:00"/>
        <d v="2025-11-08T00:00:00"/>
        <d v="2025-11-13T00:00:00"/>
        <d v="2025-06-13T00:00:00"/>
        <d v="2025-01-14T00:00:00"/>
        <d v="2025-01-12T00:00:00"/>
        <d v="2025-03-31T00:00:00"/>
        <d v="2025-08-16T00:00:00"/>
        <d v="2025-07-31T00:00:00"/>
        <d v="2025-03-23T00:00:00"/>
        <d v="2025-09-08T00:00:00"/>
        <d v="2025-09-24T00:00:00"/>
        <d v="2025-07-16T00:00:00"/>
        <d v="2025-12-14T00:00:00"/>
        <d v="2025-11-02T00:00:00"/>
        <d v="2025-08-14T00:00:00"/>
        <d v="2025-11-04T00:00:00"/>
        <d v="2025-01-08T00:00:00"/>
        <d v="2025-04-03T00:00:00"/>
        <d v="2025-04-02T00:00:00"/>
        <d v="2025-10-09T00:00:00"/>
        <d v="2025-12-03T00:00:00"/>
        <d v="2025-01-28T00:00:00"/>
        <d v="2025-01-07T00:00:00"/>
        <d v="2025-10-21T00:00:00"/>
        <d v="2025-02-08T00:00:00"/>
        <d v="2025-04-21T00:00:00"/>
        <d v="2025-03-24T00:00:00"/>
        <d v="2025-11-11T00:00:00"/>
        <d v="2025-07-17T00:00:00"/>
        <d v="2025-09-04T00:00:00"/>
        <d v="2025-08-08T00:00:00"/>
        <d v="2025-10-27T00:00:00"/>
        <d v="2025-01-20T00:00:00"/>
        <d v="2025-05-19T00:00:00"/>
        <d v="2025-01-10T00:00:00"/>
        <d v="2025-11-17T00:00:00"/>
        <d v="2025-04-04T00:00:00"/>
        <d v="2025-11-16T00:00:00"/>
        <d v="2025-08-01T00:00:00"/>
        <d v="2025-03-30T00:00:00"/>
        <d v="2025-05-05T00:00:00"/>
        <d v="2025-08-13T00:00:00"/>
        <d v="2025-01-15T00:00:00"/>
        <d v="2025-02-07T00:00:00"/>
        <d v="2025-03-27T00:00:00"/>
        <d v="2025-06-08T00:00:00"/>
        <d v="2025-02-16T00:00:00"/>
        <d v="2025-10-19T00:00:00"/>
        <d v="2025-06-20T00:00:00"/>
        <d v="2025-08-02T00:00:00"/>
        <d v="2025-07-01T00:00:00"/>
        <d v="2025-11-05T00:00:00"/>
        <d v="2025-12-13T00:00:00"/>
        <d v="2025-06-29T00:00:00"/>
        <d v="2025-05-30T00:00:00"/>
        <d v="2025-11-01T00:00:00"/>
        <d v="2025-03-28T00:00:00"/>
        <d v="2025-08-27T00:00:00"/>
        <d v="2025-10-18T00:00:00"/>
        <d v="2025-09-20T00:00:00"/>
        <d v="2025-10-12T00:00:00"/>
        <d v="2025-08-22T00:00:00"/>
        <d v="2025-10-20T00:00:00"/>
        <d v="2025-12-08T00:00:00"/>
        <d v="2025-08-03T00:00:00"/>
        <d v="2025-02-03T00:00:00"/>
        <d v="2025-12-28T00:00:00"/>
        <d v="2025-03-14T00:00:00"/>
        <d v="2025-01-25T00:00:00"/>
        <d v="2025-04-12T00:00:00"/>
        <d v="2025-01-17T00:00:00"/>
        <d v="2025-01-16T00:00:00"/>
        <d v="2025-08-11T00:00:00"/>
        <d v="2025-07-02T00:00:00"/>
        <d v="2025-07-29T00:00:00"/>
        <d v="2025-08-24T00:00:00"/>
        <d v="2025-12-25T00:00:00"/>
        <d v="2025-11-20T00:00:00"/>
        <d v="2025-08-31T00:00:00"/>
        <d v="2025-09-16T00:00:00"/>
        <d v="2025-06-27T00:00:00"/>
        <d v="2025-05-03T00:00:00"/>
        <d v="2025-02-09T00:00:00"/>
        <d v="2025-02-25T00:00:00"/>
        <d v="2025-12-02T00:00:00"/>
        <d v="2025-12-29T00:00:00"/>
        <d v="2025-03-15T00:00:00"/>
        <d v="2025-12-18T00:00:00"/>
        <d v="2025-07-12T00:00:00"/>
        <d v="2025-07-23T00:00:00"/>
        <d v="2025-02-02T00:00:00"/>
        <d v="2025-06-06T00:00:00"/>
        <d v="2025-01-27T00:00:00"/>
        <d v="2025-03-25T00:00:00"/>
        <d v="2025-09-28T00:00:00"/>
        <d v="2025-06-30T00:00:00"/>
        <d v="2025-08-10T00:00:00"/>
        <d v="2025-06-15T00:00:00"/>
        <d v="2025-12-10T00:00:00"/>
        <d v="2025-12-19T00:00:00"/>
        <d v="2025-04-26T00:00:00"/>
        <d v="2025-05-07T00:00:00"/>
        <d v="2025-07-30T00:00:00"/>
        <d v="2025-12-16T00:00:00"/>
        <d v="2025-06-01T00:00:00"/>
        <d v="2025-07-05T00:00:00"/>
        <d v="2025-12-21T00:00:00"/>
        <d v="2025-03-07T00:00:00"/>
        <d v="2025-10-28T00:00:00"/>
        <d v="2025-01-01T00:00:00"/>
        <d v="2025-11-30T00:00:00"/>
        <d v="2025-04-29T00:00:00"/>
        <d v="2025-04-24T00:00:00"/>
        <d v="2025-11-24T00:00:00"/>
        <d v="2025-10-31T00:00:00"/>
        <d v="2025-06-10T00:00:00"/>
        <d v="2025-10-06T00:00:00"/>
        <d v="2025-01-03T00:00:00"/>
        <d v="2025-06-03T00:00:00"/>
        <d v="2025-01-21T00:00:00"/>
        <d v="2025-03-18T00:00:00"/>
        <d v="2025-01-26T00:00:00"/>
        <d v="2025-06-16T00:00:00"/>
        <d v="2025-05-18T00:00:00"/>
        <d v="2025-05-26T00:00:00"/>
        <d v="2025-10-07T00:00:00"/>
        <d v="2025-02-05T00:00:00"/>
        <d v="2025-03-11T00:00:00"/>
        <d v="2025-01-05T00:00:00"/>
        <d v="2025-03-08T00:00:00"/>
        <d v="2025-08-19T00:00:00"/>
        <d v="2025-05-31T00:00:00"/>
        <d v="2025-11-27T00:00:00"/>
        <d v="2025-07-25T00:00:00"/>
        <d v="2025-11-06T00:00:00"/>
        <d v="2025-11-12T00:00:00"/>
        <d v="2025-05-29T00:00:00"/>
        <d v="2025-04-07T00:00:00"/>
        <d v="2025-08-09T00:00:00"/>
        <d v="2025-08-30T00:00:00"/>
        <d v="2025-02-11T00:00:00"/>
        <d v="2025-05-09T00:00:00"/>
        <d v="2025-08-20T00:00:00"/>
        <d v="2025-03-20T00:00:00"/>
        <d v="2025-09-18T00:00:00"/>
        <d v="2025-09-23T00:00:00"/>
        <d v="2025-08-12T00:00:00"/>
        <d v="2025-09-26T00:00:00"/>
        <d v="2025-04-05T00:00:00"/>
        <d v="2025-10-08T00:00:00"/>
        <d v="2025-08-04T00:00:00"/>
        <d v="2025-02-19T00:00:00"/>
        <d v="2025-12-31T00:00:00"/>
        <d v="2025-12-22T00:00:00"/>
        <d v="2025-04-16T00:00:00"/>
        <d v="2025-12-11T00:00:00"/>
        <d v="2025-07-15T00:00:00"/>
        <d v="2025-03-09T00:00:00"/>
        <d v="2025-08-15T00:00:00"/>
        <d v="2025-10-24T00:00:00"/>
        <d v="2025-02-01T00:00:00"/>
        <d v="2025-11-21T00:00:00"/>
        <d v="2025-03-01T00:00:00"/>
        <d v="2025-10-04T00:00:00"/>
        <d v="2025-10-30T00:00:00"/>
        <d v="2025-05-22T00:00:00"/>
        <d v="2025-04-01T00:00:00"/>
        <d v="2025-05-27T00:00:00"/>
        <d v="2025-10-02T00:00:00"/>
        <d v="2025-04-30T00:00:00"/>
        <d v="2025-12-23T00:00:00"/>
        <d v="2025-11-03T00:00:00"/>
        <d v="2025-06-11T00:00:00"/>
        <d v="2025-08-25T00:00:00"/>
        <d v="2025-08-28T00:00:00"/>
        <d v="2025-06-23T00:00:00"/>
        <d v="2025-07-14T00:00:00"/>
        <d v="2025-10-01T00:00:00"/>
        <d v="2025-04-19T00:00:00"/>
        <d v="2025-12-20T00:00:00"/>
        <d v="2025-12-04T00:00:00"/>
        <d v="2025-02-15T00:00:00"/>
        <d v="2025-08-07T00:00:00"/>
        <d v="2025-06-12T00:00:00"/>
        <d v="2025-07-08T00:00:00"/>
        <d v="2025-11-19T00:00:00"/>
        <d v="2025-06-18T00:00:00"/>
        <d v="2025-01-19T00:00:00"/>
        <d v="2025-10-17T00:00:00"/>
        <d v="2025-01-13T00:00:00"/>
        <d v="2025-04-28T00:00:00"/>
        <d v="2025-07-24T00:00:00"/>
        <d v="2025-08-29T00:00:00"/>
        <d v="2025-04-11T00:00:00"/>
        <d v="2025-08-23T00:00:00"/>
        <d v="2025-04-14T00:00:00"/>
      </sharedItems>
      <fieldGroup par="14"/>
    </cacheField>
    <cacheField name="Product" numFmtId="0">
      <sharedItems count="16">
        <s v="Lux Soap"/>
        <s v="Clinic Plus Shampoo"/>
        <s v="Pears Soap"/>
        <s v="Pond's Face Wash"/>
        <s v="Lifebuoy Handwash"/>
        <s v="Kissan Tomato Ketchup"/>
        <s v="Boost"/>
        <s v="Sunsilk Shampoo"/>
        <s v="Surf Excel Matic"/>
        <s v="Horlicks"/>
        <s v="Domex Toilet Cleaner"/>
        <s v="Hellmann's Mayonnaise"/>
        <s v="Rin Detergent"/>
        <s v="Dove Soap"/>
        <s v="Vim Dishwash"/>
        <s v="Dove Shampoo"/>
      </sharedItems>
    </cacheField>
    <cacheField name="Category" numFmtId="0">
      <sharedItems count="4">
        <s v="Beauty &amp; Personal Care"/>
        <s v="Foods"/>
        <s v="Nutrition"/>
        <s v="Home Care"/>
      </sharedItems>
    </cacheField>
    <cacheField name="City" numFmtId="0">
      <sharedItems/>
    </cacheField>
    <cacheField name="State" numFmtId="0">
      <sharedItems count="9">
        <s v="Uttar Pradesh"/>
        <s v="Rajasthan"/>
        <s v="Tamil Nadu"/>
        <s v="Delhi"/>
        <s v="Maharashtra"/>
        <s v="Gujarat"/>
        <s v="Karnataka"/>
        <s v="West Bengal"/>
        <s v="Telangana"/>
      </sharedItems>
    </cacheField>
    <cacheField name="Sales_Channel" numFmtId="0">
      <sharedItems count="4">
        <s v="Modern Trade"/>
        <s v="E-Commerce"/>
        <s v="General Trade"/>
        <s v="Distributor"/>
      </sharedItems>
    </cacheField>
    <cacheField name="Customer_Type" numFmtId="0">
      <sharedItems/>
    </cacheField>
    <cacheField name="Units_Sold" numFmtId="0">
      <sharedItems containsSemiMixedTypes="0" containsString="0" containsNumber="1" containsInteger="1" minValue="2" maxValue="30"/>
    </cacheField>
    <cacheField name="Unit_Price" numFmtId="0">
      <sharedItems containsSemiMixedTypes="0" containsString="0" containsNumber="1" minValue="49.53" maxValue="338.49"/>
    </cacheField>
    <cacheField name="Discount_Percent" numFmtId="0">
      <sharedItems containsSemiMixedTypes="0" containsString="0" containsNumber="1" containsInteger="1" minValue="0" maxValue="20"/>
    </cacheField>
    <cacheField name="Revenue" numFmtId="0">
      <sharedItems containsSemiMixedTypes="0" containsString="0" containsNumber="1" minValue="161.41999999999999" maxValue="8176.84"/>
    </cacheField>
    <cacheField name="Net_Sales" numFmtId="0">
      <sharedItems containsSemiMixedTypes="0" containsString="0" containsNumber="1" minValue="161.41999999999999" maxValue="8176.8399999999992"/>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999979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HUL10002"/>
    <x v="0"/>
    <x v="0"/>
    <x v="0"/>
    <s v="Kanpur"/>
    <x v="0"/>
    <x v="0"/>
    <s v="Online Customer"/>
    <n v="12"/>
    <n v="58.08"/>
    <n v="20"/>
    <n v="557.57000000000005"/>
    <n v="557.5680000000001"/>
  </r>
  <r>
    <s v="HUL10003"/>
    <x v="1"/>
    <x v="1"/>
    <x v="0"/>
    <s v="Noida"/>
    <x v="0"/>
    <x v="1"/>
    <s v="Online Customer"/>
    <n v="12"/>
    <n v="155.62"/>
    <n v="15"/>
    <n v="1587.32"/>
    <n v="1587.3240000000001"/>
  </r>
  <r>
    <s v="HUL10004"/>
    <x v="2"/>
    <x v="2"/>
    <x v="0"/>
    <s v="Noida"/>
    <x v="0"/>
    <x v="2"/>
    <s v="Retailer"/>
    <n v="3"/>
    <n v="67.89"/>
    <n v="5"/>
    <n v="193.49"/>
    <n v="193.48650000000001"/>
  </r>
  <r>
    <s v="HUL10005"/>
    <x v="3"/>
    <x v="3"/>
    <x v="0"/>
    <s v="Jaipur"/>
    <x v="1"/>
    <x v="0"/>
    <s v="Wholesaler"/>
    <n v="23"/>
    <n v="189.3"/>
    <n v="0"/>
    <n v="4353.8999999999996"/>
    <n v="4353.9000000000005"/>
  </r>
  <r>
    <s v="HUL10006"/>
    <x v="4"/>
    <x v="4"/>
    <x v="0"/>
    <s v="Chennai"/>
    <x v="2"/>
    <x v="1"/>
    <s v="Wholesaler"/>
    <n v="29"/>
    <n v="131.37"/>
    <n v="10"/>
    <n v="3428.76"/>
    <n v="3428.7570000000001"/>
  </r>
  <r>
    <s v="HUL10007"/>
    <x v="5"/>
    <x v="0"/>
    <x v="0"/>
    <s v="Kanpur"/>
    <x v="0"/>
    <x v="3"/>
    <s v="Retailer"/>
    <n v="4"/>
    <n v="58.96"/>
    <n v="20"/>
    <n v="188.67"/>
    <n v="188.67200000000003"/>
  </r>
  <r>
    <s v="HUL10008"/>
    <x v="6"/>
    <x v="0"/>
    <x v="0"/>
    <s v="Delhi"/>
    <x v="3"/>
    <x v="3"/>
    <s v="Retailer"/>
    <n v="29"/>
    <n v="55.7"/>
    <n v="5"/>
    <n v="1534.54"/>
    <n v="1534.5350000000001"/>
  </r>
  <r>
    <s v="HUL10009"/>
    <x v="7"/>
    <x v="1"/>
    <x v="0"/>
    <s v="Jaipur"/>
    <x v="1"/>
    <x v="2"/>
    <s v="Online Customer"/>
    <n v="29"/>
    <n v="134.04"/>
    <n v="20"/>
    <n v="3109.73"/>
    <n v="3109.7280000000001"/>
  </r>
  <r>
    <s v="HUL10010"/>
    <x v="8"/>
    <x v="5"/>
    <x v="1"/>
    <s v="Noida"/>
    <x v="0"/>
    <x v="2"/>
    <s v="Retailer"/>
    <n v="5"/>
    <n v="140.47"/>
    <n v="15"/>
    <n v="597"/>
    <n v="596.99750000000006"/>
  </r>
  <r>
    <s v="HUL10011"/>
    <x v="9"/>
    <x v="6"/>
    <x v="2"/>
    <s v="Mumbai"/>
    <x v="4"/>
    <x v="2"/>
    <s v="Wholesaler"/>
    <n v="5"/>
    <n v="271.72000000000003"/>
    <n v="5"/>
    <n v="1290.67"/>
    <n v="1290.67"/>
  </r>
  <r>
    <s v="HUL10012"/>
    <x v="10"/>
    <x v="3"/>
    <x v="0"/>
    <s v="Delhi"/>
    <x v="3"/>
    <x v="2"/>
    <s v="Wholesaler"/>
    <n v="5"/>
    <n v="214.11"/>
    <n v="15"/>
    <n v="909.97"/>
    <n v="909.96750000000009"/>
  </r>
  <r>
    <s v="HUL10013"/>
    <x v="11"/>
    <x v="2"/>
    <x v="0"/>
    <s v="Jaipur"/>
    <x v="1"/>
    <x v="3"/>
    <s v="Retailer"/>
    <n v="19"/>
    <n v="65.52"/>
    <n v="5"/>
    <n v="1182.6400000000001"/>
    <n v="1182.6359999999997"/>
  </r>
  <r>
    <s v="HUL10014"/>
    <x v="12"/>
    <x v="3"/>
    <x v="0"/>
    <s v="Ahmedabad"/>
    <x v="5"/>
    <x v="3"/>
    <s v="Retailer"/>
    <n v="10"/>
    <n v="201.44"/>
    <n v="20"/>
    <n v="1611.52"/>
    <n v="1611.5200000000002"/>
  </r>
  <r>
    <s v="HUL10015"/>
    <x v="13"/>
    <x v="7"/>
    <x v="0"/>
    <s v="Pune"/>
    <x v="4"/>
    <x v="0"/>
    <s v="Retailer"/>
    <n v="13"/>
    <n v="172.57"/>
    <n v="10"/>
    <n v="2019.07"/>
    <n v="2019.069"/>
  </r>
  <r>
    <s v="HUL10016"/>
    <x v="14"/>
    <x v="2"/>
    <x v="0"/>
    <s v="Noida"/>
    <x v="0"/>
    <x v="1"/>
    <s v="Retailer"/>
    <n v="28"/>
    <n v="59.46"/>
    <n v="5"/>
    <n v="1581.64"/>
    <n v="1581.636"/>
  </r>
  <r>
    <s v="HUL10017"/>
    <x v="15"/>
    <x v="3"/>
    <x v="0"/>
    <s v="Pune"/>
    <x v="4"/>
    <x v="0"/>
    <s v="Wholesaler"/>
    <n v="2"/>
    <n v="191.67"/>
    <n v="20"/>
    <n v="306.67"/>
    <n v="306.67199999999997"/>
  </r>
  <r>
    <s v="HUL10018"/>
    <x v="16"/>
    <x v="3"/>
    <x v="0"/>
    <s v="Bengaluru"/>
    <x v="6"/>
    <x v="2"/>
    <s v="Online Customer"/>
    <n v="4"/>
    <n v="208.83"/>
    <n v="20"/>
    <n v="668.26"/>
    <n v="668.25600000000009"/>
  </r>
  <r>
    <s v="HUL10019"/>
    <x v="17"/>
    <x v="8"/>
    <x v="3"/>
    <s v="Jaipur"/>
    <x v="1"/>
    <x v="2"/>
    <s v="Online Customer"/>
    <n v="15"/>
    <n v="279.64999999999998"/>
    <n v="0"/>
    <n v="4194.75"/>
    <n v="4194.75"/>
  </r>
  <r>
    <s v="HUL10020"/>
    <x v="18"/>
    <x v="5"/>
    <x v="1"/>
    <s v="Kolkata"/>
    <x v="7"/>
    <x v="2"/>
    <s v="Retailer"/>
    <n v="20"/>
    <n v="135.94"/>
    <n v="0"/>
    <n v="2718.8"/>
    <n v="2718.8"/>
  </r>
  <r>
    <s v="HUL10021"/>
    <x v="19"/>
    <x v="9"/>
    <x v="2"/>
    <s v="Kanpur"/>
    <x v="0"/>
    <x v="2"/>
    <s v="Retailer"/>
    <n v="24"/>
    <n v="316.47000000000003"/>
    <n v="10"/>
    <n v="6835.75"/>
    <n v="6835.7520000000004"/>
  </r>
  <r>
    <s v="HUL10022"/>
    <x v="20"/>
    <x v="10"/>
    <x v="3"/>
    <s v="Pune"/>
    <x v="4"/>
    <x v="1"/>
    <s v="Online Customer"/>
    <n v="23"/>
    <n v="161.41"/>
    <n v="5"/>
    <n v="3526.81"/>
    <n v="3526.8084999999996"/>
  </r>
  <r>
    <s v="HUL10023"/>
    <x v="21"/>
    <x v="6"/>
    <x v="2"/>
    <s v="Hyderabad"/>
    <x v="8"/>
    <x v="0"/>
    <s v="Wholesaler"/>
    <n v="29"/>
    <n v="307.61"/>
    <n v="15"/>
    <n v="7582.59"/>
    <n v="7582.5865000000003"/>
  </r>
  <r>
    <s v="HUL10024"/>
    <x v="22"/>
    <x v="6"/>
    <x v="2"/>
    <s v="Chennai"/>
    <x v="2"/>
    <x v="3"/>
    <s v="Wholesaler"/>
    <n v="24"/>
    <n v="312.97000000000003"/>
    <n v="0"/>
    <n v="7511.28"/>
    <n v="7511.2800000000007"/>
  </r>
  <r>
    <s v="HUL10025"/>
    <x v="23"/>
    <x v="6"/>
    <x v="2"/>
    <s v="Hyderabad"/>
    <x v="8"/>
    <x v="3"/>
    <s v="Retailer"/>
    <n v="10"/>
    <n v="278.68"/>
    <n v="10"/>
    <n v="2508.12"/>
    <n v="2508.1200000000003"/>
  </r>
  <r>
    <s v="HUL10026"/>
    <x v="24"/>
    <x v="6"/>
    <x v="2"/>
    <s v="Jaipur"/>
    <x v="1"/>
    <x v="0"/>
    <s v="Online Customer"/>
    <n v="11"/>
    <n v="280.58"/>
    <n v="10"/>
    <n v="2777.74"/>
    <n v="2777.7419999999997"/>
  </r>
  <r>
    <s v="HUL10027"/>
    <x v="25"/>
    <x v="11"/>
    <x v="1"/>
    <s v="Bengaluru"/>
    <x v="6"/>
    <x v="0"/>
    <s v="Retailer"/>
    <n v="18"/>
    <n v="228.19"/>
    <n v="15"/>
    <n v="3491.31"/>
    <n v="3491.3069999999998"/>
  </r>
  <r>
    <s v="HUL10028"/>
    <x v="26"/>
    <x v="12"/>
    <x v="3"/>
    <s v="Noida"/>
    <x v="0"/>
    <x v="0"/>
    <s v="Retailer"/>
    <n v="18"/>
    <n v="131.94999999999999"/>
    <n v="10"/>
    <n v="2137.59"/>
    <n v="2137.59"/>
  </r>
  <r>
    <s v="HUL10029"/>
    <x v="27"/>
    <x v="12"/>
    <x v="3"/>
    <s v="Delhi"/>
    <x v="3"/>
    <x v="3"/>
    <s v="Wholesaler"/>
    <n v="24"/>
    <n v="114.69"/>
    <n v="0"/>
    <n v="2752.56"/>
    <n v="2752.56"/>
  </r>
  <r>
    <s v="HUL10030"/>
    <x v="28"/>
    <x v="12"/>
    <x v="3"/>
    <s v="Jaipur"/>
    <x v="1"/>
    <x v="3"/>
    <s v="Wholesaler"/>
    <n v="7"/>
    <n v="113.81"/>
    <n v="15"/>
    <n v="677.17"/>
    <n v="677.16950000000008"/>
  </r>
  <r>
    <s v="HUL10031"/>
    <x v="29"/>
    <x v="2"/>
    <x v="0"/>
    <s v="Chennai"/>
    <x v="2"/>
    <x v="0"/>
    <s v="Online Customer"/>
    <n v="7"/>
    <n v="63.28"/>
    <n v="15"/>
    <n v="376.52"/>
    <n v="376.51600000000002"/>
  </r>
  <r>
    <s v="HUL10032"/>
    <x v="30"/>
    <x v="13"/>
    <x v="0"/>
    <s v="Mumbai"/>
    <x v="4"/>
    <x v="1"/>
    <s v="Online Customer"/>
    <n v="17"/>
    <n v="79.48"/>
    <n v="0"/>
    <n v="1351.16"/>
    <n v="1351.16"/>
  </r>
  <r>
    <s v="HUL10033"/>
    <x v="31"/>
    <x v="4"/>
    <x v="0"/>
    <s v="Mumbai"/>
    <x v="4"/>
    <x v="3"/>
    <s v="Retailer"/>
    <n v="4"/>
    <n v="122.18"/>
    <n v="10"/>
    <n v="439.85"/>
    <n v="439.84800000000001"/>
  </r>
  <r>
    <s v="HUL10034"/>
    <x v="1"/>
    <x v="14"/>
    <x v="3"/>
    <s v="Noida"/>
    <x v="0"/>
    <x v="3"/>
    <s v="Online Customer"/>
    <n v="21"/>
    <n v="119.69"/>
    <n v="5"/>
    <n v="2387.8200000000002"/>
    <n v="2387.8154999999997"/>
  </r>
  <r>
    <s v="HUL10035"/>
    <x v="15"/>
    <x v="8"/>
    <x v="3"/>
    <s v="Chennai"/>
    <x v="2"/>
    <x v="3"/>
    <s v="Retailer"/>
    <n v="26"/>
    <n v="263.70999999999998"/>
    <n v="5"/>
    <n v="6513.64"/>
    <n v="6513.6369999999988"/>
  </r>
  <r>
    <s v="HUL10036"/>
    <x v="8"/>
    <x v="0"/>
    <x v="0"/>
    <s v="Ahmedabad"/>
    <x v="5"/>
    <x v="3"/>
    <s v="Wholesaler"/>
    <n v="17"/>
    <n v="55.61"/>
    <n v="15"/>
    <n v="803.56"/>
    <n v="803.56449999999995"/>
  </r>
  <r>
    <s v="HUL10037"/>
    <x v="15"/>
    <x v="8"/>
    <x v="3"/>
    <s v="Ahmedabad"/>
    <x v="5"/>
    <x v="0"/>
    <s v="Retailer"/>
    <n v="28"/>
    <n v="262.57"/>
    <n v="0"/>
    <n v="7351.96"/>
    <n v="7351.96"/>
  </r>
  <r>
    <s v="HUL10038"/>
    <x v="32"/>
    <x v="14"/>
    <x v="3"/>
    <s v="Noida"/>
    <x v="0"/>
    <x v="3"/>
    <s v="Wholesaler"/>
    <n v="25"/>
    <n v="118.53"/>
    <n v="15"/>
    <n v="2518.7600000000002"/>
    <n v="2518.7624999999998"/>
  </r>
  <r>
    <s v="HUL10039"/>
    <x v="33"/>
    <x v="8"/>
    <x v="3"/>
    <s v="Bengaluru"/>
    <x v="6"/>
    <x v="3"/>
    <s v="Wholesaler"/>
    <n v="9"/>
    <n v="285.95999999999998"/>
    <n v="10"/>
    <n v="2316.2800000000002"/>
    <n v="2316.2759999999998"/>
  </r>
  <r>
    <s v="HUL10040"/>
    <x v="34"/>
    <x v="6"/>
    <x v="2"/>
    <s v="Hyderabad"/>
    <x v="8"/>
    <x v="1"/>
    <s v="Retailer"/>
    <n v="30"/>
    <n v="277.47000000000003"/>
    <n v="5"/>
    <n v="7907.9"/>
    <n v="7907.8949999999995"/>
  </r>
  <r>
    <s v="HUL10041"/>
    <x v="35"/>
    <x v="13"/>
    <x v="0"/>
    <s v="Noida"/>
    <x v="0"/>
    <x v="3"/>
    <s v="Retailer"/>
    <n v="10"/>
    <n v="70.14"/>
    <n v="15"/>
    <n v="596.19000000000005"/>
    <n v="596.18999999999994"/>
  </r>
  <r>
    <s v="HUL10042"/>
    <x v="36"/>
    <x v="6"/>
    <x v="2"/>
    <s v="Jaipur"/>
    <x v="1"/>
    <x v="3"/>
    <s v="Online Customer"/>
    <n v="4"/>
    <n v="299.14"/>
    <n v="0"/>
    <n v="1196.56"/>
    <n v="1196.56"/>
  </r>
  <r>
    <s v="HUL10043"/>
    <x v="37"/>
    <x v="3"/>
    <x v="0"/>
    <s v="Chennai"/>
    <x v="2"/>
    <x v="1"/>
    <s v="Wholesaler"/>
    <n v="24"/>
    <n v="199.52"/>
    <n v="20"/>
    <n v="3830.78"/>
    <n v="3830.7840000000006"/>
  </r>
  <r>
    <s v="HUL10044"/>
    <x v="38"/>
    <x v="13"/>
    <x v="0"/>
    <s v="Bengaluru"/>
    <x v="6"/>
    <x v="1"/>
    <s v="Online Customer"/>
    <n v="3"/>
    <n v="72.75"/>
    <n v="0"/>
    <n v="218.25"/>
    <n v="218.25"/>
  </r>
  <r>
    <s v="HUL10045"/>
    <x v="2"/>
    <x v="5"/>
    <x v="1"/>
    <s v="Lucknow"/>
    <x v="0"/>
    <x v="0"/>
    <s v="Retailer"/>
    <n v="17"/>
    <n v="143.41999999999999"/>
    <n v="10"/>
    <n v="2194.33"/>
    <n v="2194.326"/>
  </r>
  <r>
    <s v="HUL10046"/>
    <x v="39"/>
    <x v="8"/>
    <x v="3"/>
    <s v="Lucknow"/>
    <x v="0"/>
    <x v="3"/>
    <s v="Wholesaler"/>
    <n v="30"/>
    <n v="267.66000000000003"/>
    <n v="10"/>
    <n v="7226.82"/>
    <n v="7226.8200000000015"/>
  </r>
  <r>
    <s v="HUL10047"/>
    <x v="40"/>
    <x v="15"/>
    <x v="0"/>
    <s v="Bengaluru"/>
    <x v="6"/>
    <x v="0"/>
    <s v="Retailer"/>
    <n v="15"/>
    <n v="240.53"/>
    <n v="10"/>
    <n v="3247.16"/>
    <n v="3247.1549999999997"/>
  </r>
  <r>
    <s v="HUL10048"/>
    <x v="41"/>
    <x v="8"/>
    <x v="3"/>
    <s v="Kanpur"/>
    <x v="0"/>
    <x v="1"/>
    <s v="Retailer"/>
    <n v="22"/>
    <n v="262.69"/>
    <n v="0"/>
    <n v="5779.18"/>
    <n v="5779.18"/>
  </r>
  <r>
    <s v="HUL10049"/>
    <x v="42"/>
    <x v="14"/>
    <x v="3"/>
    <s v="Delhi"/>
    <x v="3"/>
    <x v="0"/>
    <s v="Wholesaler"/>
    <n v="23"/>
    <n v="114.31"/>
    <n v="5"/>
    <n v="2497.67"/>
    <n v="2497.6734999999999"/>
  </r>
  <r>
    <s v="HUL10050"/>
    <x v="43"/>
    <x v="5"/>
    <x v="1"/>
    <s v="Mumbai"/>
    <x v="4"/>
    <x v="1"/>
    <s v="Wholesaler"/>
    <n v="28"/>
    <n v="143.86000000000001"/>
    <n v="5"/>
    <n v="3826.68"/>
    <n v="3826.6760000000004"/>
  </r>
  <r>
    <s v="HUL10051"/>
    <x v="44"/>
    <x v="2"/>
    <x v="0"/>
    <s v="Lucknow"/>
    <x v="0"/>
    <x v="0"/>
    <s v="Online Customer"/>
    <n v="23"/>
    <n v="63.17"/>
    <n v="20"/>
    <n v="1162.33"/>
    <n v="1162.3280000000002"/>
  </r>
  <r>
    <s v="HUL10052"/>
    <x v="45"/>
    <x v="0"/>
    <x v="0"/>
    <s v="Kolkata"/>
    <x v="7"/>
    <x v="1"/>
    <s v="Wholesaler"/>
    <n v="26"/>
    <n v="56.23"/>
    <n v="15"/>
    <n v="1242.68"/>
    <n v="1242.683"/>
  </r>
  <r>
    <s v="HUL10053"/>
    <x v="46"/>
    <x v="10"/>
    <x v="3"/>
    <s v="Kanpur"/>
    <x v="0"/>
    <x v="0"/>
    <s v="Wholesaler"/>
    <n v="17"/>
    <n v="136.52000000000001"/>
    <n v="10"/>
    <n v="2088.7600000000002"/>
    <n v="2088.7560000000003"/>
  </r>
  <r>
    <s v="HUL10054"/>
    <x v="47"/>
    <x v="3"/>
    <x v="0"/>
    <s v="Delhi"/>
    <x v="3"/>
    <x v="2"/>
    <s v="Online Customer"/>
    <n v="23"/>
    <n v="202.78"/>
    <n v="5"/>
    <n v="4430.74"/>
    <n v="4430.7429999999995"/>
  </r>
  <r>
    <s v="HUL10055"/>
    <x v="48"/>
    <x v="6"/>
    <x v="2"/>
    <s v="Mumbai"/>
    <x v="4"/>
    <x v="2"/>
    <s v="Wholesaler"/>
    <n v="23"/>
    <n v="275.51"/>
    <n v="5"/>
    <n v="6019.89"/>
    <n v="6019.8934999999992"/>
  </r>
  <r>
    <s v="HUL10056"/>
    <x v="49"/>
    <x v="5"/>
    <x v="1"/>
    <s v="Mumbai"/>
    <x v="4"/>
    <x v="1"/>
    <s v="Retailer"/>
    <n v="2"/>
    <n v="159.84"/>
    <n v="15"/>
    <n v="271.73"/>
    <n v="271.72800000000001"/>
  </r>
  <r>
    <s v="HUL10057"/>
    <x v="50"/>
    <x v="15"/>
    <x v="0"/>
    <s v="Pune"/>
    <x v="4"/>
    <x v="3"/>
    <s v="Wholesaler"/>
    <n v="14"/>
    <n v="206.55"/>
    <n v="10"/>
    <n v="2602.5300000000002"/>
    <n v="2602.5300000000002"/>
  </r>
  <r>
    <s v="HUL10058"/>
    <x v="51"/>
    <x v="2"/>
    <x v="0"/>
    <s v="Kanpur"/>
    <x v="0"/>
    <x v="3"/>
    <s v="Retailer"/>
    <n v="19"/>
    <n v="65.209999999999994"/>
    <n v="10"/>
    <n v="1115.0899999999999"/>
    <n v="1115.0909999999999"/>
  </r>
  <r>
    <s v="HUL10059"/>
    <x v="52"/>
    <x v="2"/>
    <x v="0"/>
    <s v="Noida"/>
    <x v="0"/>
    <x v="3"/>
    <s v="Wholesaler"/>
    <n v="24"/>
    <n v="61.76"/>
    <n v="5"/>
    <n v="1408.13"/>
    <n v="1408.1279999999999"/>
  </r>
  <r>
    <s v="HUL10060"/>
    <x v="53"/>
    <x v="6"/>
    <x v="2"/>
    <s v="Pune"/>
    <x v="4"/>
    <x v="1"/>
    <s v="Retailer"/>
    <n v="13"/>
    <n v="284.72000000000003"/>
    <n v="5"/>
    <n v="3516.29"/>
    <n v="3516.2920000000004"/>
  </r>
  <r>
    <s v="HUL10061"/>
    <x v="54"/>
    <x v="8"/>
    <x v="3"/>
    <s v="Delhi"/>
    <x v="3"/>
    <x v="3"/>
    <s v="Wholesaler"/>
    <n v="23"/>
    <n v="292.02"/>
    <n v="20"/>
    <n v="5373.17"/>
    <n v="5373.1679999999997"/>
  </r>
  <r>
    <s v="HUL10062"/>
    <x v="55"/>
    <x v="9"/>
    <x v="2"/>
    <s v="Pune"/>
    <x v="4"/>
    <x v="3"/>
    <s v="Online Customer"/>
    <n v="6"/>
    <n v="316.93"/>
    <n v="10"/>
    <n v="1711.42"/>
    <n v="1711.422"/>
  </r>
  <r>
    <s v="HUL10063"/>
    <x v="56"/>
    <x v="1"/>
    <x v="0"/>
    <s v="Noida"/>
    <x v="0"/>
    <x v="0"/>
    <s v="Wholesaler"/>
    <n v="26"/>
    <n v="140.41"/>
    <n v="15"/>
    <n v="3103.06"/>
    <n v="3103.0609999999997"/>
  </r>
  <r>
    <s v="HUL10064"/>
    <x v="57"/>
    <x v="5"/>
    <x v="1"/>
    <s v="Lucknow"/>
    <x v="0"/>
    <x v="2"/>
    <s v="Wholesaler"/>
    <n v="21"/>
    <n v="140.26"/>
    <n v="5"/>
    <n v="2798.19"/>
    <n v="2798.1869999999999"/>
  </r>
  <r>
    <s v="HUL10065"/>
    <x v="58"/>
    <x v="0"/>
    <x v="0"/>
    <s v="Kanpur"/>
    <x v="0"/>
    <x v="0"/>
    <s v="Wholesaler"/>
    <n v="6"/>
    <n v="53.88"/>
    <n v="5"/>
    <n v="307.12"/>
    <n v="307.11599999999999"/>
  </r>
  <r>
    <s v="HUL10066"/>
    <x v="59"/>
    <x v="15"/>
    <x v="0"/>
    <s v="Kanpur"/>
    <x v="0"/>
    <x v="2"/>
    <s v="Online Customer"/>
    <n v="11"/>
    <n v="225.54"/>
    <n v="5"/>
    <n v="2356.89"/>
    <n v="2356.893"/>
  </r>
  <r>
    <s v="HUL10067"/>
    <x v="24"/>
    <x v="8"/>
    <x v="3"/>
    <s v="Bengaluru"/>
    <x v="6"/>
    <x v="0"/>
    <s v="Retailer"/>
    <n v="5"/>
    <n v="286.49"/>
    <n v="5"/>
    <n v="1360.83"/>
    <n v="1360.8274999999999"/>
  </r>
  <r>
    <s v="HUL10068"/>
    <x v="60"/>
    <x v="4"/>
    <x v="0"/>
    <s v="Kanpur"/>
    <x v="0"/>
    <x v="3"/>
    <s v="Wholesaler"/>
    <n v="4"/>
    <n v="123.44"/>
    <n v="0"/>
    <n v="493.76"/>
    <n v="493.76"/>
  </r>
  <r>
    <s v="HUL10069"/>
    <x v="61"/>
    <x v="4"/>
    <x v="0"/>
    <s v="Jaipur"/>
    <x v="1"/>
    <x v="3"/>
    <s v="Online Customer"/>
    <n v="2"/>
    <n v="131.07"/>
    <n v="5"/>
    <n v="249.03"/>
    <n v="249.03299999999999"/>
  </r>
  <r>
    <s v="HUL10070"/>
    <x v="62"/>
    <x v="3"/>
    <x v="0"/>
    <s v="Ahmedabad"/>
    <x v="5"/>
    <x v="1"/>
    <s v="Wholesaler"/>
    <n v="3"/>
    <n v="190.64"/>
    <n v="5"/>
    <n v="543.32000000000005"/>
    <n v="543.32399999999996"/>
  </r>
  <r>
    <s v="HUL10071"/>
    <x v="63"/>
    <x v="0"/>
    <x v="0"/>
    <s v="Lucknow"/>
    <x v="0"/>
    <x v="2"/>
    <s v="Retailer"/>
    <n v="27"/>
    <n v="57"/>
    <n v="5"/>
    <n v="1462.05"/>
    <n v="1462.05"/>
  </r>
  <r>
    <s v="HUL10072"/>
    <x v="11"/>
    <x v="7"/>
    <x v="0"/>
    <s v="Pune"/>
    <x v="4"/>
    <x v="3"/>
    <s v="Wholesaler"/>
    <n v="22"/>
    <n v="174.54"/>
    <n v="10"/>
    <n v="3455.89"/>
    <n v="3455.8919999999998"/>
  </r>
  <r>
    <s v="HUL10073"/>
    <x v="64"/>
    <x v="15"/>
    <x v="0"/>
    <s v="Hyderabad"/>
    <x v="8"/>
    <x v="3"/>
    <s v="Wholesaler"/>
    <n v="6"/>
    <n v="231.03"/>
    <n v="10"/>
    <n v="1247.56"/>
    <n v="1247.5620000000001"/>
  </r>
  <r>
    <s v="HUL10074"/>
    <x v="65"/>
    <x v="14"/>
    <x v="3"/>
    <s v="Kanpur"/>
    <x v="0"/>
    <x v="2"/>
    <s v="Retailer"/>
    <n v="8"/>
    <n v="111.77"/>
    <n v="20"/>
    <n v="715.33"/>
    <n v="715.32799999999997"/>
  </r>
  <r>
    <s v="HUL10075"/>
    <x v="66"/>
    <x v="8"/>
    <x v="3"/>
    <s v="Pune"/>
    <x v="4"/>
    <x v="0"/>
    <s v="Online Customer"/>
    <n v="26"/>
    <n v="265.33999999999997"/>
    <n v="0"/>
    <n v="6898.84"/>
    <n v="6898.8399999999992"/>
  </r>
  <r>
    <s v="HUL10076"/>
    <x v="39"/>
    <x v="10"/>
    <x v="3"/>
    <s v="Hyderabad"/>
    <x v="8"/>
    <x v="2"/>
    <s v="Retailer"/>
    <n v="28"/>
    <n v="138"/>
    <n v="15"/>
    <n v="3284.4"/>
    <n v="3284.4"/>
  </r>
  <r>
    <s v="HUL10077"/>
    <x v="67"/>
    <x v="14"/>
    <x v="3"/>
    <s v="Ahmedabad"/>
    <x v="5"/>
    <x v="0"/>
    <s v="Online Customer"/>
    <n v="29"/>
    <n v="119.9"/>
    <n v="15"/>
    <n v="2955.54"/>
    <n v="2955.5350000000003"/>
  </r>
  <r>
    <s v="HUL10078"/>
    <x v="68"/>
    <x v="1"/>
    <x v="0"/>
    <s v="Jaipur"/>
    <x v="1"/>
    <x v="0"/>
    <s v="Online Customer"/>
    <n v="13"/>
    <n v="140.03"/>
    <n v="10"/>
    <n v="1638.35"/>
    <n v="1638.3510000000001"/>
  </r>
  <r>
    <s v="HUL10079"/>
    <x v="69"/>
    <x v="0"/>
    <x v="0"/>
    <s v="Hyderabad"/>
    <x v="8"/>
    <x v="1"/>
    <s v="Retailer"/>
    <n v="22"/>
    <n v="54.94"/>
    <n v="5"/>
    <n v="1148.25"/>
    <n v="1148.2459999999999"/>
  </r>
  <r>
    <s v="HUL10080"/>
    <x v="70"/>
    <x v="14"/>
    <x v="3"/>
    <s v="Pune"/>
    <x v="4"/>
    <x v="0"/>
    <s v="Online Customer"/>
    <n v="12"/>
    <n v="101.58"/>
    <n v="15"/>
    <n v="1036.1199999999999"/>
    <n v="1036.116"/>
  </r>
  <r>
    <s v="HUL10081"/>
    <x v="71"/>
    <x v="1"/>
    <x v="0"/>
    <s v="Kolkata"/>
    <x v="7"/>
    <x v="3"/>
    <s v="Retailer"/>
    <n v="30"/>
    <n v="154.82"/>
    <n v="20"/>
    <n v="3715.68"/>
    <n v="3715.68"/>
  </r>
  <r>
    <s v="HUL10082"/>
    <x v="72"/>
    <x v="1"/>
    <x v="0"/>
    <s v="Hyderabad"/>
    <x v="8"/>
    <x v="2"/>
    <s v="Online Customer"/>
    <n v="27"/>
    <n v="134.75"/>
    <n v="20"/>
    <n v="2910.6"/>
    <n v="2910.6000000000004"/>
  </r>
  <r>
    <s v="HUL10083"/>
    <x v="73"/>
    <x v="13"/>
    <x v="0"/>
    <s v="Noida"/>
    <x v="0"/>
    <x v="3"/>
    <s v="Retailer"/>
    <n v="2"/>
    <n v="80.709999999999994"/>
    <n v="0"/>
    <n v="161.41999999999999"/>
    <n v="161.41999999999999"/>
  </r>
  <r>
    <s v="HUL10084"/>
    <x v="4"/>
    <x v="7"/>
    <x v="0"/>
    <s v="Kanpur"/>
    <x v="0"/>
    <x v="3"/>
    <s v="Wholesaler"/>
    <n v="29"/>
    <n v="165.01"/>
    <n v="20"/>
    <n v="3828.23"/>
    <n v="3828.232"/>
  </r>
  <r>
    <s v="HUL10085"/>
    <x v="74"/>
    <x v="13"/>
    <x v="0"/>
    <s v="Pune"/>
    <x v="4"/>
    <x v="1"/>
    <s v="Wholesaler"/>
    <n v="27"/>
    <n v="72.45"/>
    <n v="10"/>
    <n v="1760.54"/>
    <n v="1760.5350000000001"/>
  </r>
  <r>
    <s v="HUL10086"/>
    <x v="75"/>
    <x v="9"/>
    <x v="2"/>
    <s v="Delhi"/>
    <x v="3"/>
    <x v="3"/>
    <s v="Wholesaler"/>
    <n v="27"/>
    <n v="324.94"/>
    <n v="20"/>
    <n v="7018.7"/>
    <n v="7018.7039999999997"/>
  </r>
  <r>
    <s v="HUL10087"/>
    <x v="76"/>
    <x v="0"/>
    <x v="0"/>
    <s v="Lucknow"/>
    <x v="0"/>
    <x v="1"/>
    <s v="Retailer"/>
    <n v="29"/>
    <n v="60.08"/>
    <n v="15"/>
    <n v="1480.97"/>
    <n v="1480.972"/>
  </r>
  <r>
    <s v="HUL10088"/>
    <x v="77"/>
    <x v="8"/>
    <x v="3"/>
    <s v="Mumbai"/>
    <x v="4"/>
    <x v="0"/>
    <s v="Wholesaler"/>
    <n v="27"/>
    <n v="252.68"/>
    <n v="20"/>
    <n v="5457.89"/>
    <n v="5457.8880000000008"/>
  </r>
  <r>
    <s v="HUL10089"/>
    <x v="78"/>
    <x v="5"/>
    <x v="1"/>
    <s v="Jaipur"/>
    <x v="1"/>
    <x v="3"/>
    <s v="Wholesaler"/>
    <n v="22"/>
    <n v="164.79"/>
    <n v="20"/>
    <n v="2900.3"/>
    <n v="2900.3040000000001"/>
  </r>
  <r>
    <s v="HUL10090"/>
    <x v="79"/>
    <x v="14"/>
    <x v="3"/>
    <s v="Noida"/>
    <x v="0"/>
    <x v="3"/>
    <s v="Retailer"/>
    <n v="19"/>
    <n v="102.66"/>
    <n v="0"/>
    <n v="1950.54"/>
    <n v="1950.54"/>
  </r>
  <r>
    <s v="HUL10091"/>
    <x v="80"/>
    <x v="5"/>
    <x v="1"/>
    <s v="Lucknow"/>
    <x v="0"/>
    <x v="0"/>
    <s v="Wholesaler"/>
    <n v="23"/>
    <n v="146.53"/>
    <n v="0"/>
    <n v="3370.19"/>
    <n v="3370.19"/>
  </r>
  <r>
    <s v="HUL10092"/>
    <x v="81"/>
    <x v="1"/>
    <x v="0"/>
    <s v="Bengaluru"/>
    <x v="6"/>
    <x v="2"/>
    <s v="Retailer"/>
    <n v="9"/>
    <n v="135.41999999999999"/>
    <n v="15"/>
    <n v="1035.96"/>
    <n v="1035.963"/>
  </r>
  <r>
    <s v="HUL10093"/>
    <x v="82"/>
    <x v="2"/>
    <x v="0"/>
    <s v="Kolkata"/>
    <x v="7"/>
    <x v="3"/>
    <s v="Wholesaler"/>
    <n v="29"/>
    <n v="59.51"/>
    <n v="0"/>
    <n v="1725.79"/>
    <n v="1725.79"/>
  </r>
  <r>
    <s v="HUL10094"/>
    <x v="83"/>
    <x v="11"/>
    <x v="1"/>
    <s v="Chennai"/>
    <x v="2"/>
    <x v="2"/>
    <s v="Online Customer"/>
    <n v="18"/>
    <n v="229.43"/>
    <n v="20"/>
    <n v="3303.79"/>
    <n v="3303.7919999999999"/>
  </r>
  <r>
    <s v="HUL10095"/>
    <x v="84"/>
    <x v="9"/>
    <x v="2"/>
    <s v="Ahmedabad"/>
    <x v="5"/>
    <x v="3"/>
    <s v="Retailer"/>
    <n v="14"/>
    <n v="335.48"/>
    <n v="20"/>
    <n v="3757.38"/>
    <n v="3757.3760000000002"/>
  </r>
  <r>
    <s v="HUL10096"/>
    <x v="85"/>
    <x v="14"/>
    <x v="3"/>
    <s v="Jaipur"/>
    <x v="1"/>
    <x v="1"/>
    <s v="Retailer"/>
    <n v="3"/>
    <n v="100.82"/>
    <n v="5"/>
    <n v="287.33999999999997"/>
    <n v="287.33699999999999"/>
  </r>
  <r>
    <s v="HUL10097"/>
    <x v="86"/>
    <x v="9"/>
    <x v="2"/>
    <s v="Jaipur"/>
    <x v="1"/>
    <x v="1"/>
    <s v="Retailer"/>
    <n v="23"/>
    <n v="329.25"/>
    <n v="0"/>
    <n v="7572.75"/>
    <n v="7572.75"/>
  </r>
  <r>
    <s v="HUL10098"/>
    <x v="29"/>
    <x v="15"/>
    <x v="0"/>
    <s v="Kolkata"/>
    <x v="7"/>
    <x v="1"/>
    <s v="Retailer"/>
    <n v="23"/>
    <n v="234.48"/>
    <n v="0"/>
    <n v="5393.04"/>
    <n v="5393.04"/>
  </r>
  <r>
    <s v="HUL10099"/>
    <x v="87"/>
    <x v="7"/>
    <x v="0"/>
    <s v="Noida"/>
    <x v="0"/>
    <x v="1"/>
    <s v="Retailer"/>
    <n v="22"/>
    <n v="164.03"/>
    <n v="15"/>
    <n v="3067.36"/>
    <n v="3067.3609999999999"/>
  </r>
  <r>
    <s v="HUL10100"/>
    <x v="72"/>
    <x v="5"/>
    <x v="1"/>
    <s v="Jaipur"/>
    <x v="1"/>
    <x v="2"/>
    <s v="Online Customer"/>
    <n v="22"/>
    <n v="152.55000000000001"/>
    <n v="20"/>
    <n v="2684.88"/>
    <n v="2684.8800000000006"/>
  </r>
  <r>
    <s v="HUL10101"/>
    <x v="37"/>
    <x v="1"/>
    <x v="0"/>
    <s v="Kolkata"/>
    <x v="7"/>
    <x v="1"/>
    <s v="Retailer"/>
    <n v="22"/>
    <n v="143.57"/>
    <n v="0"/>
    <n v="3158.54"/>
    <n v="3158.54"/>
  </r>
  <r>
    <s v="HUL10102"/>
    <x v="88"/>
    <x v="9"/>
    <x v="2"/>
    <s v="Kanpur"/>
    <x v="0"/>
    <x v="2"/>
    <s v="Retailer"/>
    <n v="18"/>
    <n v="325.93"/>
    <n v="5"/>
    <n v="5573.4"/>
    <n v="5573.4029999999993"/>
  </r>
  <r>
    <s v="HUL10103"/>
    <x v="89"/>
    <x v="5"/>
    <x v="1"/>
    <s v="Bengaluru"/>
    <x v="6"/>
    <x v="1"/>
    <s v="Wholesaler"/>
    <n v="27"/>
    <n v="150.61000000000001"/>
    <n v="10"/>
    <n v="3659.82"/>
    <n v="3659.8230000000003"/>
  </r>
  <r>
    <s v="HUL10104"/>
    <x v="57"/>
    <x v="3"/>
    <x v="0"/>
    <s v="Lucknow"/>
    <x v="0"/>
    <x v="2"/>
    <s v="Retailer"/>
    <n v="28"/>
    <n v="205.95"/>
    <n v="20"/>
    <n v="4613.28"/>
    <n v="4613.28"/>
  </r>
  <r>
    <s v="HUL10105"/>
    <x v="90"/>
    <x v="6"/>
    <x v="2"/>
    <s v="Delhi"/>
    <x v="3"/>
    <x v="1"/>
    <s v="Online Customer"/>
    <n v="8"/>
    <n v="268.91000000000003"/>
    <n v="15"/>
    <n v="1828.59"/>
    <n v="1828.5880000000002"/>
  </r>
  <r>
    <s v="HUL10106"/>
    <x v="91"/>
    <x v="13"/>
    <x v="0"/>
    <s v="Delhi"/>
    <x v="3"/>
    <x v="2"/>
    <s v="Wholesaler"/>
    <n v="16"/>
    <n v="74.06"/>
    <n v="5"/>
    <n v="1125.71"/>
    <n v="1125.712"/>
  </r>
  <r>
    <s v="HUL10107"/>
    <x v="37"/>
    <x v="7"/>
    <x v="0"/>
    <s v="Mumbai"/>
    <x v="4"/>
    <x v="0"/>
    <s v="Online Customer"/>
    <n v="29"/>
    <n v="172.73"/>
    <n v="5"/>
    <n v="4758.71"/>
    <n v="4758.7114999999994"/>
  </r>
  <r>
    <s v="HUL10108"/>
    <x v="21"/>
    <x v="8"/>
    <x v="3"/>
    <s v="Jaipur"/>
    <x v="1"/>
    <x v="0"/>
    <s v="Wholesaler"/>
    <n v="25"/>
    <n v="299.16000000000003"/>
    <n v="0"/>
    <n v="7479"/>
    <n v="7479.0000000000009"/>
  </r>
  <r>
    <s v="HUL10109"/>
    <x v="61"/>
    <x v="2"/>
    <x v="0"/>
    <s v="Jaipur"/>
    <x v="1"/>
    <x v="2"/>
    <s v="Wholesaler"/>
    <n v="22"/>
    <n v="63.02"/>
    <n v="10"/>
    <n v="1247.8"/>
    <n v="1247.796"/>
  </r>
  <r>
    <s v="HUL10110"/>
    <x v="92"/>
    <x v="11"/>
    <x v="1"/>
    <s v="Chennai"/>
    <x v="2"/>
    <x v="1"/>
    <s v="Online Customer"/>
    <n v="26"/>
    <n v="238.09"/>
    <n v="10"/>
    <n v="5571.31"/>
    <n v="5571.3060000000005"/>
  </r>
  <r>
    <s v="HUL10111"/>
    <x v="93"/>
    <x v="10"/>
    <x v="3"/>
    <s v="Bengaluru"/>
    <x v="6"/>
    <x v="3"/>
    <s v="Retailer"/>
    <n v="4"/>
    <n v="161.22999999999999"/>
    <n v="10"/>
    <n v="580.42999999999995"/>
    <n v="580.428"/>
  </r>
  <r>
    <s v="HUL10112"/>
    <x v="94"/>
    <x v="11"/>
    <x v="1"/>
    <s v="Delhi"/>
    <x v="3"/>
    <x v="0"/>
    <s v="Wholesaler"/>
    <n v="20"/>
    <n v="217.96"/>
    <n v="20"/>
    <n v="3487.36"/>
    <n v="3487.36"/>
  </r>
  <r>
    <s v="HUL10113"/>
    <x v="31"/>
    <x v="1"/>
    <x v="0"/>
    <s v="Mumbai"/>
    <x v="4"/>
    <x v="0"/>
    <s v="Wholesaler"/>
    <n v="2"/>
    <n v="146"/>
    <n v="15"/>
    <n v="248.2"/>
    <n v="248.2"/>
  </r>
  <r>
    <s v="HUL10114"/>
    <x v="95"/>
    <x v="6"/>
    <x v="2"/>
    <s v="Delhi"/>
    <x v="3"/>
    <x v="0"/>
    <s v="Wholesaler"/>
    <n v="27"/>
    <n v="301.04000000000002"/>
    <n v="0"/>
    <n v="8128.08"/>
    <n v="8128.0800000000008"/>
  </r>
  <r>
    <s v="HUL10115"/>
    <x v="96"/>
    <x v="7"/>
    <x v="0"/>
    <s v="Hyderabad"/>
    <x v="8"/>
    <x v="2"/>
    <s v="Online Customer"/>
    <n v="25"/>
    <n v="193.45"/>
    <n v="20"/>
    <n v="3869"/>
    <n v="3869"/>
  </r>
  <r>
    <s v="HUL10116"/>
    <x v="97"/>
    <x v="1"/>
    <x v="0"/>
    <s v="Kanpur"/>
    <x v="0"/>
    <x v="0"/>
    <s v="Retailer"/>
    <n v="4"/>
    <n v="135.85"/>
    <n v="5"/>
    <n v="516.23"/>
    <n v="516.2299999999999"/>
  </r>
  <r>
    <s v="HUL10117"/>
    <x v="98"/>
    <x v="0"/>
    <x v="0"/>
    <s v="Bengaluru"/>
    <x v="6"/>
    <x v="2"/>
    <s v="Retailer"/>
    <n v="27"/>
    <n v="49.9"/>
    <n v="10"/>
    <n v="1212.57"/>
    <n v="1212.57"/>
  </r>
  <r>
    <s v="HUL10118"/>
    <x v="99"/>
    <x v="14"/>
    <x v="3"/>
    <s v="Pune"/>
    <x v="4"/>
    <x v="2"/>
    <s v="Online Customer"/>
    <n v="16"/>
    <n v="99.67"/>
    <n v="5"/>
    <n v="1514.98"/>
    <n v="1514.9839999999999"/>
  </r>
  <r>
    <s v="HUL10119"/>
    <x v="100"/>
    <x v="14"/>
    <x v="3"/>
    <s v="Noida"/>
    <x v="0"/>
    <x v="1"/>
    <s v="Retailer"/>
    <n v="24"/>
    <n v="107.3"/>
    <n v="5"/>
    <n v="2446.44"/>
    <n v="2446.4399999999996"/>
  </r>
  <r>
    <s v="HUL10120"/>
    <x v="51"/>
    <x v="7"/>
    <x v="0"/>
    <s v="Lucknow"/>
    <x v="0"/>
    <x v="1"/>
    <s v="Wholesaler"/>
    <n v="27"/>
    <n v="181.27"/>
    <n v="0"/>
    <n v="4894.29"/>
    <n v="4894.29"/>
  </r>
  <r>
    <s v="HUL10121"/>
    <x v="101"/>
    <x v="9"/>
    <x v="2"/>
    <s v="Kanpur"/>
    <x v="0"/>
    <x v="0"/>
    <s v="Wholesaler"/>
    <n v="4"/>
    <n v="319.23"/>
    <n v="5"/>
    <n v="1213.07"/>
    <n v="1213.0740000000001"/>
  </r>
  <r>
    <s v="HUL10122"/>
    <x v="102"/>
    <x v="10"/>
    <x v="3"/>
    <s v="Mumbai"/>
    <x v="4"/>
    <x v="2"/>
    <s v="Online Customer"/>
    <n v="9"/>
    <n v="152.6"/>
    <n v="15"/>
    <n v="1167.3900000000001"/>
    <n v="1167.3899999999999"/>
  </r>
  <r>
    <s v="HUL10123"/>
    <x v="103"/>
    <x v="1"/>
    <x v="0"/>
    <s v="Hyderabad"/>
    <x v="8"/>
    <x v="0"/>
    <s v="Wholesaler"/>
    <n v="21"/>
    <n v="149.22999999999999"/>
    <n v="5"/>
    <n v="2977.14"/>
    <n v="2977.1384999999996"/>
  </r>
  <r>
    <s v="HUL10124"/>
    <x v="104"/>
    <x v="9"/>
    <x v="2"/>
    <s v="Mumbai"/>
    <x v="4"/>
    <x v="0"/>
    <s v="Retailer"/>
    <n v="2"/>
    <n v="279.47000000000003"/>
    <n v="20"/>
    <n v="447.15"/>
    <n v="447.15200000000004"/>
  </r>
  <r>
    <s v="HUL10125"/>
    <x v="105"/>
    <x v="13"/>
    <x v="0"/>
    <s v="Pune"/>
    <x v="4"/>
    <x v="3"/>
    <s v="Wholesaler"/>
    <n v="12"/>
    <n v="68.819999999999993"/>
    <n v="0"/>
    <n v="825.84"/>
    <n v="825.83999999999992"/>
  </r>
  <r>
    <s v="HUL10126"/>
    <x v="106"/>
    <x v="14"/>
    <x v="3"/>
    <s v="Noida"/>
    <x v="0"/>
    <x v="1"/>
    <s v="Retailer"/>
    <n v="5"/>
    <n v="120.94"/>
    <n v="5"/>
    <n v="574.46"/>
    <n v="574.46500000000003"/>
  </r>
  <r>
    <s v="HUL10127"/>
    <x v="66"/>
    <x v="4"/>
    <x v="0"/>
    <s v="Kanpur"/>
    <x v="0"/>
    <x v="1"/>
    <s v="Wholesaler"/>
    <n v="23"/>
    <n v="114.19"/>
    <n v="10"/>
    <n v="2363.73"/>
    <n v="2363.7330000000002"/>
  </r>
  <r>
    <s v="HUL10128"/>
    <x v="107"/>
    <x v="7"/>
    <x v="0"/>
    <s v="Delhi"/>
    <x v="3"/>
    <x v="1"/>
    <s v="Online Customer"/>
    <n v="9"/>
    <n v="179.16"/>
    <n v="20"/>
    <n v="1289.95"/>
    <n v="1289.9520000000002"/>
  </r>
  <r>
    <s v="HUL10129"/>
    <x v="108"/>
    <x v="15"/>
    <x v="0"/>
    <s v="Mumbai"/>
    <x v="4"/>
    <x v="2"/>
    <s v="Wholesaler"/>
    <n v="5"/>
    <n v="216.72"/>
    <n v="0"/>
    <n v="1083.5999999999999"/>
    <n v="1083.5999999999999"/>
  </r>
  <r>
    <s v="HUL10130"/>
    <x v="109"/>
    <x v="8"/>
    <x v="3"/>
    <s v="Ahmedabad"/>
    <x v="5"/>
    <x v="1"/>
    <s v="Retailer"/>
    <n v="27"/>
    <n v="295"/>
    <n v="20"/>
    <n v="6372"/>
    <n v="6372"/>
  </r>
  <r>
    <s v="HUL10131"/>
    <x v="110"/>
    <x v="5"/>
    <x v="1"/>
    <s v="Kanpur"/>
    <x v="0"/>
    <x v="0"/>
    <s v="Online Customer"/>
    <n v="4"/>
    <n v="136.55000000000001"/>
    <n v="5"/>
    <n v="518.89"/>
    <n v="518.89"/>
  </r>
  <r>
    <s v="HUL10132"/>
    <x v="111"/>
    <x v="15"/>
    <x v="0"/>
    <s v="Pune"/>
    <x v="4"/>
    <x v="2"/>
    <s v="Wholesaler"/>
    <n v="14"/>
    <n v="228.12"/>
    <n v="15"/>
    <n v="2714.63"/>
    <n v="2714.6280000000002"/>
  </r>
  <r>
    <s v="HUL10133"/>
    <x v="112"/>
    <x v="5"/>
    <x v="1"/>
    <s v="Jaipur"/>
    <x v="1"/>
    <x v="0"/>
    <s v="Retailer"/>
    <n v="10"/>
    <n v="152.87"/>
    <n v="10"/>
    <n v="1375.83"/>
    <n v="1375.8300000000002"/>
  </r>
  <r>
    <s v="HUL10134"/>
    <x v="23"/>
    <x v="5"/>
    <x v="1"/>
    <s v="Lucknow"/>
    <x v="0"/>
    <x v="0"/>
    <s v="Wholesaler"/>
    <n v="29"/>
    <n v="163.95"/>
    <n v="20"/>
    <n v="3803.64"/>
    <n v="3803.6399999999994"/>
  </r>
  <r>
    <s v="HUL10135"/>
    <x v="113"/>
    <x v="12"/>
    <x v="3"/>
    <s v="Ahmedabad"/>
    <x v="5"/>
    <x v="1"/>
    <s v="Online Customer"/>
    <n v="2"/>
    <n v="125.79"/>
    <n v="15"/>
    <n v="213.84"/>
    <n v="213.84300000000002"/>
  </r>
  <r>
    <s v="HUL10136"/>
    <x v="114"/>
    <x v="9"/>
    <x v="2"/>
    <s v="Bengaluru"/>
    <x v="6"/>
    <x v="1"/>
    <s v="Retailer"/>
    <n v="6"/>
    <n v="291.5"/>
    <n v="10"/>
    <n v="1574.1"/>
    <n v="1574.1000000000001"/>
  </r>
  <r>
    <s v="HUL10137"/>
    <x v="115"/>
    <x v="15"/>
    <x v="0"/>
    <s v="Jaipur"/>
    <x v="1"/>
    <x v="1"/>
    <s v="Online Customer"/>
    <n v="15"/>
    <n v="221.01"/>
    <n v="15"/>
    <n v="2817.88"/>
    <n v="2817.8774999999996"/>
  </r>
  <r>
    <s v="HUL10138"/>
    <x v="116"/>
    <x v="9"/>
    <x v="2"/>
    <s v="Kolkata"/>
    <x v="7"/>
    <x v="0"/>
    <s v="Wholesaler"/>
    <n v="9"/>
    <n v="307.02"/>
    <n v="10"/>
    <n v="2486.86"/>
    <n v="2486.8620000000001"/>
  </r>
  <r>
    <s v="HUL10139"/>
    <x v="117"/>
    <x v="13"/>
    <x v="0"/>
    <s v="Lucknow"/>
    <x v="0"/>
    <x v="1"/>
    <s v="Online Customer"/>
    <n v="16"/>
    <n v="76.16"/>
    <n v="0"/>
    <n v="1218.56"/>
    <n v="1218.56"/>
  </r>
  <r>
    <s v="HUL10140"/>
    <x v="100"/>
    <x v="5"/>
    <x v="1"/>
    <s v="Pune"/>
    <x v="4"/>
    <x v="2"/>
    <s v="Wholesaler"/>
    <n v="22"/>
    <n v="162.19"/>
    <n v="10"/>
    <n v="3211.36"/>
    <n v="3211.3620000000001"/>
  </r>
  <r>
    <s v="HUL10141"/>
    <x v="118"/>
    <x v="14"/>
    <x v="3"/>
    <s v="Mumbai"/>
    <x v="4"/>
    <x v="2"/>
    <s v="Online Customer"/>
    <n v="8"/>
    <n v="115.07"/>
    <n v="5"/>
    <n v="874.53"/>
    <n v="874.53199999999993"/>
  </r>
  <r>
    <s v="HUL10142"/>
    <x v="119"/>
    <x v="5"/>
    <x v="1"/>
    <s v="Lucknow"/>
    <x v="0"/>
    <x v="3"/>
    <s v="Wholesaler"/>
    <n v="8"/>
    <n v="152.19"/>
    <n v="20"/>
    <n v="974.02"/>
    <n v="974.01600000000008"/>
  </r>
  <r>
    <s v="HUL10143"/>
    <x v="120"/>
    <x v="7"/>
    <x v="0"/>
    <s v="Lucknow"/>
    <x v="0"/>
    <x v="0"/>
    <s v="Retailer"/>
    <n v="28"/>
    <n v="188.78"/>
    <n v="15"/>
    <n v="4492.96"/>
    <n v="4492.9639999999999"/>
  </r>
  <r>
    <s v="HUL10144"/>
    <x v="121"/>
    <x v="12"/>
    <x v="3"/>
    <s v="Kolkata"/>
    <x v="7"/>
    <x v="0"/>
    <s v="Online Customer"/>
    <n v="11"/>
    <n v="116.21"/>
    <n v="20"/>
    <n v="1022.65"/>
    <n v="1022.648"/>
  </r>
  <r>
    <s v="HUL10145"/>
    <x v="122"/>
    <x v="5"/>
    <x v="1"/>
    <s v="Kanpur"/>
    <x v="0"/>
    <x v="0"/>
    <s v="Online Customer"/>
    <n v="30"/>
    <n v="151.19999999999999"/>
    <n v="20"/>
    <n v="3628.8"/>
    <n v="3628.8"/>
  </r>
  <r>
    <s v="HUL10146"/>
    <x v="123"/>
    <x v="10"/>
    <x v="3"/>
    <s v="Ahmedabad"/>
    <x v="5"/>
    <x v="0"/>
    <s v="Wholesaler"/>
    <n v="28"/>
    <n v="154.22999999999999"/>
    <n v="10"/>
    <n v="3886.6"/>
    <n v="3886.5959999999995"/>
  </r>
  <r>
    <s v="HUL10147"/>
    <x v="1"/>
    <x v="1"/>
    <x v="0"/>
    <s v="Chennai"/>
    <x v="2"/>
    <x v="1"/>
    <s v="Retailer"/>
    <n v="21"/>
    <n v="135.77000000000001"/>
    <n v="5"/>
    <n v="2708.61"/>
    <n v="2708.6115"/>
  </r>
  <r>
    <s v="HUL10148"/>
    <x v="9"/>
    <x v="13"/>
    <x v="0"/>
    <s v="Mumbai"/>
    <x v="4"/>
    <x v="3"/>
    <s v="Online Customer"/>
    <n v="16"/>
    <n v="71.819999999999993"/>
    <n v="10"/>
    <n v="1034.21"/>
    <n v="1034.2079999999999"/>
  </r>
  <r>
    <s v="HUL10149"/>
    <x v="124"/>
    <x v="9"/>
    <x v="2"/>
    <s v="Bengaluru"/>
    <x v="6"/>
    <x v="2"/>
    <s v="Wholesaler"/>
    <n v="26"/>
    <n v="294.87"/>
    <n v="15"/>
    <n v="6516.63"/>
    <n v="6516.6269999999995"/>
  </r>
  <r>
    <s v="HUL10150"/>
    <x v="94"/>
    <x v="3"/>
    <x v="0"/>
    <s v="Ahmedabad"/>
    <x v="5"/>
    <x v="3"/>
    <s v="Retailer"/>
    <n v="25"/>
    <n v="189.97"/>
    <n v="5"/>
    <n v="4511.79"/>
    <n v="4511.7874999999995"/>
  </r>
  <r>
    <s v="HUL10151"/>
    <x v="125"/>
    <x v="5"/>
    <x v="1"/>
    <s v="Kolkata"/>
    <x v="7"/>
    <x v="0"/>
    <s v="Wholesaler"/>
    <n v="20"/>
    <n v="157.09"/>
    <n v="0"/>
    <n v="3141.8"/>
    <n v="3141.8"/>
  </r>
  <r>
    <s v="HUL10152"/>
    <x v="126"/>
    <x v="4"/>
    <x v="0"/>
    <s v="Pune"/>
    <x v="4"/>
    <x v="0"/>
    <s v="Wholesaler"/>
    <n v="6"/>
    <n v="131.63999999999999"/>
    <n v="15"/>
    <n v="671.36"/>
    <n v="671.36399999999992"/>
  </r>
  <r>
    <s v="HUL10153"/>
    <x v="127"/>
    <x v="0"/>
    <x v="0"/>
    <s v="Hyderabad"/>
    <x v="8"/>
    <x v="0"/>
    <s v="Online Customer"/>
    <n v="23"/>
    <n v="55.21"/>
    <n v="20"/>
    <n v="1015.86"/>
    <n v="1015.864"/>
  </r>
  <r>
    <s v="HUL10154"/>
    <x v="47"/>
    <x v="7"/>
    <x v="0"/>
    <s v="Kolkata"/>
    <x v="7"/>
    <x v="3"/>
    <s v="Retailer"/>
    <n v="22"/>
    <n v="183.73"/>
    <n v="10"/>
    <n v="3637.85"/>
    <n v="3637.8539999999998"/>
  </r>
  <r>
    <s v="HUL10155"/>
    <x v="128"/>
    <x v="10"/>
    <x v="3"/>
    <s v="Hyderabad"/>
    <x v="8"/>
    <x v="2"/>
    <s v="Online Customer"/>
    <n v="7"/>
    <n v="145.38999999999999"/>
    <n v="5"/>
    <n v="966.84"/>
    <n v="966.84349999999984"/>
  </r>
  <r>
    <s v="HUL10156"/>
    <x v="129"/>
    <x v="8"/>
    <x v="3"/>
    <s v="Chennai"/>
    <x v="2"/>
    <x v="1"/>
    <s v="Online Customer"/>
    <n v="20"/>
    <n v="265.89999999999998"/>
    <n v="0"/>
    <n v="5318"/>
    <n v="5318"/>
  </r>
  <r>
    <s v="HUL10157"/>
    <x v="130"/>
    <x v="13"/>
    <x v="0"/>
    <s v="Jaipur"/>
    <x v="1"/>
    <x v="3"/>
    <s v="Retailer"/>
    <n v="18"/>
    <n v="79.209999999999994"/>
    <n v="10"/>
    <n v="1283.2"/>
    <n v="1283.202"/>
  </r>
  <r>
    <s v="HUL10158"/>
    <x v="75"/>
    <x v="1"/>
    <x v="0"/>
    <s v="Ahmedabad"/>
    <x v="5"/>
    <x v="2"/>
    <s v="Retailer"/>
    <n v="18"/>
    <n v="135.66"/>
    <n v="15"/>
    <n v="2075.6"/>
    <n v="2075.598"/>
  </r>
  <r>
    <s v="HUL10159"/>
    <x v="73"/>
    <x v="8"/>
    <x v="3"/>
    <s v="Kanpur"/>
    <x v="0"/>
    <x v="2"/>
    <s v="Wholesaler"/>
    <n v="29"/>
    <n v="281.95999999999998"/>
    <n v="0"/>
    <n v="8176.84"/>
    <n v="8176.8399999999992"/>
  </r>
  <r>
    <s v="HUL10160"/>
    <x v="131"/>
    <x v="8"/>
    <x v="3"/>
    <s v="Pune"/>
    <x v="4"/>
    <x v="1"/>
    <s v="Online Customer"/>
    <n v="25"/>
    <n v="302.29000000000002"/>
    <n v="20"/>
    <n v="6045.8"/>
    <n v="6045.8000000000011"/>
  </r>
  <r>
    <s v="HUL10161"/>
    <x v="34"/>
    <x v="9"/>
    <x v="2"/>
    <s v="Bengaluru"/>
    <x v="6"/>
    <x v="1"/>
    <s v="Wholesaler"/>
    <n v="2"/>
    <n v="327.08"/>
    <n v="5"/>
    <n v="621.45000000000005"/>
    <n v="621.45199999999988"/>
  </r>
  <r>
    <s v="HUL10162"/>
    <x v="7"/>
    <x v="13"/>
    <x v="0"/>
    <s v="Ahmedabad"/>
    <x v="5"/>
    <x v="0"/>
    <s v="Wholesaler"/>
    <n v="7"/>
    <n v="78.98"/>
    <n v="15"/>
    <n v="469.93"/>
    <n v="469.93099999999998"/>
  </r>
  <r>
    <s v="HUL10163"/>
    <x v="132"/>
    <x v="9"/>
    <x v="2"/>
    <s v="Pune"/>
    <x v="4"/>
    <x v="1"/>
    <s v="Online Customer"/>
    <n v="11"/>
    <n v="295.79000000000002"/>
    <n v="5"/>
    <n v="3091.01"/>
    <n v="3091.0054999999998"/>
  </r>
  <r>
    <s v="HUL10164"/>
    <x v="45"/>
    <x v="0"/>
    <x v="0"/>
    <s v="Ahmedabad"/>
    <x v="5"/>
    <x v="3"/>
    <s v="Wholesaler"/>
    <n v="8"/>
    <n v="56.75"/>
    <n v="0"/>
    <n v="454"/>
    <n v="454"/>
  </r>
  <r>
    <s v="HUL10165"/>
    <x v="133"/>
    <x v="0"/>
    <x v="0"/>
    <s v="Noida"/>
    <x v="0"/>
    <x v="3"/>
    <s v="Online Customer"/>
    <n v="28"/>
    <n v="55.06"/>
    <n v="0"/>
    <n v="1541.68"/>
    <n v="1541.68"/>
  </r>
  <r>
    <s v="HUL10166"/>
    <x v="134"/>
    <x v="15"/>
    <x v="0"/>
    <s v="Noida"/>
    <x v="0"/>
    <x v="1"/>
    <s v="Retailer"/>
    <n v="29"/>
    <n v="208.48"/>
    <n v="5"/>
    <n v="5743.62"/>
    <n v="5743.6239999999998"/>
  </r>
  <r>
    <s v="HUL10167"/>
    <x v="72"/>
    <x v="11"/>
    <x v="1"/>
    <s v="Bengaluru"/>
    <x v="6"/>
    <x v="2"/>
    <s v="Wholesaler"/>
    <n v="12"/>
    <n v="262.20999999999998"/>
    <n v="15"/>
    <n v="2674.54"/>
    <n v="2674.5419999999995"/>
  </r>
  <r>
    <s v="HUL10168"/>
    <x v="135"/>
    <x v="13"/>
    <x v="0"/>
    <s v="Jaipur"/>
    <x v="1"/>
    <x v="2"/>
    <s v="Online Customer"/>
    <n v="24"/>
    <n v="80.95"/>
    <n v="5"/>
    <n v="1845.66"/>
    <n v="1845.66"/>
  </r>
  <r>
    <s v="HUL10169"/>
    <x v="136"/>
    <x v="8"/>
    <x v="3"/>
    <s v="Pune"/>
    <x v="4"/>
    <x v="0"/>
    <s v="Online Customer"/>
    <n v="17"/>
    <n v="262.16000000000003"/>
    <n v="15"/>
    <n v="3788.21"/>
    <n v="3788.212"/>
  </r>
  <r>
    <s v="HUL10170"/>
    <x v="137"/>
    <x v="3"/>
    <x v="0"/>
    <s v="Delhi"/>
    <x v="3"/>
    <x v="2"/>
    <s v="Retailer"/>
    <n v="16"/>
    <n v="215.24"/>
    <n v="10"/>
    <n v="3099.46"/>
    <n v="3099.4560000000001"/>
  </r>
  <r>
    <s v="HUL10171"/>
    <x v="138"/>
    <x v="5"/>
    <x v="1"/>
    <s v="Delhi"/>
    <x v="3"/>
    <x v="1"/>
    <s v="Online Customer"/>
    <n v="24"/>
    <n v="143.04"/>
    <n v="20"/>
    <n v="2746.37"/>
    <n v="2746.3680000000004"/>
  </r>
  <r>
    <s v="HUL10172"/>
    <x v="139"/>
    <x v="13"/>
    <x v="0"/>
    <s v="Hyderabad"/>
    <x v="8"/>
    <x v="2"/>
    <s v="Retailer"/>
    <n v="13"/>
    <n v="70.790000000000006"/>
    <n v="5"/>
    <n v="874.26"/>
    <n v="874.25650000000007"/>
  </r>
  <r>
    <s v="HUL10173"/>
    <x v="63"/>
    <x v="3"/>
    <x v="0"/>
    <s v="Bengaluru"/>
    <x v="6"/>
    <x v="0"/>
    <s v="Wholesaler"/>
    <n v="25"/>
    <n v="230.39"/>
    <n v="0"/>
    <n v="5759.75"/>
    <n v="5759.75"/>
  </r>
  <r>
    <s v="HUL10174"/>
    <x v="58"/>
    <x v="8"/>
    <x v="3"/>
    <s v="Hyderabad"/>
    <x v="8"/>
    <x v="3"/>
    <s v="Wholesaler"/>
    <n v="14"/>
    <n v="274.54000000000002"/>
    <n v="0"/>
    <n v="3843.56"/>
    <n v="3843.5600000000004"/>
  </r>
  <r>
    <s v="HUL10175"/>
    <x v="140"/>
    <x v="13"/>
    <x v="0"/>
    <s v="Chennai"/>
    <x v="2"/>
    <x v="2"/>
    <s v="Wholesaler"/>
    <n v="27"/>
    <n v="81.010000000000005"/>
    <n v="5"/>
    <n v="2077.91"/>
    <n v="2077.9065000000001"/>
  </r>
  <r>
    <s v="HUL10176"/>
    <x v="141"/>
    <x v="15"/>
    <x v="0"/>
    <s v="Chennai"/>
    <x v="2"/>
    <x v="2"/>
    <s v="Wholesaler"/>
    <n v="22"/>
    <n v="233.86"/>
    <n v="0"/>
    <n v="5144.92"/>
    <n v="5144.92"/>
  </r>
  <r>
    <s v="HUL10177"/>
    <x v="142"/>
    <x v="8"/>
    <x v="3"/>
    <s v="Jaipur"/>
    <x v="1"/>
    <x v="0"/>
    <s v="Wholesaler"/>
    <n v="27"/>
    <n v="292.33"/>
    <n v="20"/>
    <n v="6314.33"/>
    <n v="6314.3280000000004"/>
  </r>
  <r>
    <s v="HUL10178"/>
    <x v="65"/>
    <x v="13"/>
    <x v="0"/>
    <s v="Jaipur"/>
    <x v="1"/>
    <x v="1"/>
    <s v="Retailer"/>
    <n v="7"/>
    <n v="78.48"/>
    <n v="5"/>
    <n v="521.89"/>
    <n v="521.89199999999994"/>
  </r>
  <r>
    <s v="HUL10179"/>
    <x v="10"/>
    <x v="9"/>
    <x v="2"/>
    <s v="Hyderabad"/>
    <x v="8"/>
    <x v="0"/>
    <s v="Online Customer"/>
    <n v="11"/>
    <n v="335.69"/>
    <n v="5"/>
    <n v="3507.96"/>
    <n v="3507.9605000000001"/>
  </r>
  <r>
    <s v="HUL10180"/>
    <x v="123"/>
    <x v="1"/>
    <x v="0"/>
    <s v="Delhi"/>
    <x v="3"/>
    <x v="3"/>
    <s v="Wholesaler"/>
    <n v="12"/>
    <n v="135.85"/>
    <n v="20"/>
    <n v="1304.1600000000001"/>
    <n v="1304.1599999999999"/>
  </r>
  <r>
    <s v="HUL10181"/>
    <x v="26"/>
    <x v="14"/>
    <x v="3"/>
    <s v="Kolkata"/>
    <x v="7"/>
    <x v="0"/>
    <s v="Retailer"/>
    <n v="12"/>
    <n v="105.35"/>
    <n v="15"/>
    <n v="1074.57"/>
    <n v="1074.5699999999997"/>
  </r>
  <r>
    <s v="HUL10182"/>
    <x v="76"/>
    <x v="4"/>
    <x v="0"/>
    <s v="Pune"/>
    <x v="4"/>
    <x v="3"/>
    <s v="Online Customer"/>
    <n v="23"/>
    <n v="119.43"/>
    <n v="20"/>
    <n v="2197.5100000000002"/>
    <n v="2197.5120000000002"/>
  </r>
  <r>
    <s v="HUL10183"/>
    <x v="96"/>
    <x v="8"/>
    <x v="3"/>
    <s v="Kolkata"/>
    <x v="7"/>
    <x v="3"/>
    <s v="Online Customer"/>
    <n v="21"/>
    <n v="261.07"/>
    <n v="15"/>
    <n v="4660.1000000000004"/>
    <n v="4660.0995000000003"/>
  </r>
  <r>
    <s v="HUL10184"/>
    <x v="143"/>
    <x v="6"/>
    <x v="2"/>
    <s v="Chennai"/>
    <x v="2"/>
    <x v="0"/>
    <s v="Online Customer"/>
    <n v="3"/>
    <n v="297.14999999999998"/>
    <n v="5"/>
    <n v="846.88"/>
    <n v="846.87749999999994"/>
  </r>
  <r>
    <s v="HUL10185"/>
    <x v="144"/>
    <x v="7"/>
    <x v="0"/>
    <s v="Bengaluru"/>
    <x v="6"/>
    <x v="0"/>
    <s v="Retailer"/>
    <n v="26"/>
    <n v="187.38"/>
    <n v="5"/>
    <n v="4628.29"/>
    <n v="4628.2860000000001"/>
  </r>
  <r>
    <s v="HUL10186"/>
    <x v="145"/>
    <x v="0"/>
    <x v="0"/>
    <s v="Noida"/>
    <x v="0"/>
    <x v="1"/>
    <s v="Wholesaler"/>
    <n v="6"/>
    <n v="49.53"/>
    <n v="10"/>
    <n v="267.45999999999998"/>
    <n v="267.46199999999999"/>
  </r>
  <r>
    <s v="HUL10187"/>
    <x v="146"/>
    <x v="12"/>
    <x v="3"/>
    <s v="Ahmedabad"/>
    <x v="5"/>
    <x v="1"/>
    <s v="Retailer"/>
    <n v="13"/>
    <n v="127.38"/>
    <n v="0"/>
    <n v="1655.94"/>
    <n v="1655.94"/>
  </r>
  <r>
    <s v="HUL10188"/>
    <x v="7"/>
    <x v="1"/>
    <x v="0"/>
    <s v="Hyderabad"/>
    <x v="8"/>
    <x v="1"/>
    <s v="Retailer"/>
    <n v="16"/>
    <n v="133.01"/>
    <n v="10"/>
    <n v="1915.34"/>
    <n v="1915.3439999999998"/>
  </r>
  <r>
    <s v="HUL10189"/>
    <x v="115"/>
    <x v="5"/>
    <x v="1"/>
    <s v="Jaipur"/>
    <x v="1"/>
    <x v="0"/>
    <s v="Online Customer"/>
    <n v="6"/>
    <n v="155.77000000000001"/>
    <n v="0"/>
    <n v="934.62"/>
    <n v="934.62000000000012"/>
  </r>
  <r>
    <s v="HUL10190"/>
    <x v="147"/>
    <x v="3"/>
    <x v="0"/>
    <s v="Chennai"/>
    <x v="2"/>
    <x v="2"/>
    <s v="Retailer"/>
    <n v="14"/>
    <n v="217.14"/>
    <n v="5"/>
    <n v="2887.96"/>
    <n v="2887.962"/>
  </r>
  <r>
    <s v="HUL10191"/>
    <x v="98"/>
    <x v="0"/>
    <x v="0"/>
    <s v="Lucknow"/>
    <x v="0"/>
    <x v="1"/>
    <s v="Wholesaler"/>
    <n v="22"/>
    <n v="54.71"/>
    <n v="20"/>
    <n v="962.9"/>
    <n v="962.89600000000019"/>
  </r>
  <r>
    <s v="HUL10192"/>
    <x v="148"/>
    <x v="7"/>
    <x v="0"/>
    <s v="Noida"/>
    <x v="0"/>
    <x v="3"/>
    <s v="Wholesaler"/>
    <n v="28"/>
    <n v="195.99"/>
    <n v="5"/>
    <n v="5213.33"/>
    <n v="5213.3339999999998"/>
  </r>
  <r>
    <s v="HUL10193"/>
    <x v="79"/>
    <x v="6"/>
    <x v="2"/>
    <s v="Kanpur"/>
    <x v="0"/>
    <x v="1"/>
    <s v="Online Customer"/>
    <n v="19"/>
    <n v="291.3"/>
    <n v="0"/>
    <n v="5534.7"/>
    <n v="5534.7"/>
  </r>
  <r>
    <s v="HUL10194"/>
    <x v="149"/>
    <x v="5"/>
    <x v="1"/>
    <s v="Bengaluru"/>
    <x v="6"/>
    <x v="1"/>
    <s v="Retailer"/>
    <n v="3"/>
    <n v="161.55000000000001"/>
    <n v="10"/>
    <n v="436.19"/>
    <n v="436.18500000000006"/>
  </r>
  <r>
    <s v="HUL10195"/>
    <x v="150"/>
    <x v="0"/>
    <x v="0"/>
    <s v="Ahmedabad"/>
    <x v="5"/>
    <x v="1"/>
    <s v="Online Customer"/>
    <n v="25"/>
    <n v="55.43"/>
    <n v="20"/>
    <n v="1108.5999999999999"/>
    <n v="1108.6000000000001"/>
  </r>
  <r>
    <s v="HUL10196"/>
    <x v="141"/>
    <x v="8"/>
    <x v="3"/>
    <s v="Kolkata"/>
    <x v="7"/>
    <x v="3"/>
    <s v="Wholesaler"/>
    <n v="3"/>
    <n v="253.37"/>
    <n v="5"/>
    <n v="722.1"/>
    <n v="722.10450000000003"/>
  </r>
  <r>
    <s v="HUL10197"/>
    <x v="100"/>
    <x v="6"/>
    <x v="2"/>
    <s v="Chennai"/>
    <x v="2"/>
    <x v="1"/>
    <s v="Retailer"/>
    <n v="14"/>
    <n v="283.27"/>
    <n v="10"/>
    <n v="3569.2"/>
    <n v="3569.2019999999998"/>
  </r>
  <r>
    <s v="HUL10198"/>
    <x v="151"/>
    <x v="6"/>
    <x v="2"/>
    <s v="Kanpur"/>
    <x v="0"/>
    <x v="0"/>
    <s v="Wholesaler"/>
    <n v="18"/>
    <n v="284.31"/>
    <n v="20"/>
    <n v="4094.06"/>
    <n v="4094.0640000000003"/>
  </r>
  <r>
    <s v="HUL10199"/>
    <x v="152"/>
    <x v="7"/>
    <x v="0"/>
    <s v="Bengaluru"/>
    <x v="6"/>
    <x v="3"/>
    <s v="Online Customer"/>
    <n v="26"/>
    <n v="189.66"/>
    <n v="0"/>
    <n v="4931.16"/>
    <n v="4931.16"/>
  </r>
  <r>
    <s v="HUL10200"/>
    <x v="153"/>
    <x v="10"/>
    <x v="3"/>
    <s v="Jaipur"/>
    <x v="1"/>
    <x v="0"/>
    <s v="Wholesaler"/>
    <n v="18"/>
    <n v="138.31"/>
    <n v="5"/>
    <n v="2365.1"/>
    <n v="2365.1009999999997"/>
  </r>
  <r>
    <s v="HUL10201"/>
    <x v="131"/>
    <x v="12"/>
    <x v="3"/>
    <s v="Jaipur"/>
    <x v="1"/>
    <x v="0"/>
    <s v="Retailer"/>
    <n v="22"/>
    <n v="131.71"/>
    <n v="0"/>
    <n v="2897.62"/>
    <n v="2897.6200000000003"/>
  </r>
  <r>
    <s v="HUL10202"/>
    <x v="104"/>
    <x v="7"/>
    <x v="0"/>
    <s v="Bengaluru"/>
    <x v="6"/>
    <x v="3"/>
    <s v="Online Customer"/>
    <n v="27"/>
    <n v="190.73"/>
    <n v="20"/>
    <n v="4119.7700000000004"/>
    <n v="4119.768"/>
  </r>
  <r>
    <s v="HUL10203"/>
    <x v="90"/>
    <x v="0"/>
    <x v="0"/>
    <s v="Bengaluru"/>
    <x v="6"/>
    <x v="1"/>
    <s v="Wholesaler"/>
    <n v="25"/>
    <n v="54.64"/>
    <n v="20"/>
    <n v="1092.8"/>
    <n v="1092.8"/>
  </r>
  <r>
    <s v="HUL10204"/>
    <x v="154"/>
    <x v="7"/>
    <x v="0"/>
    <s v="Pune"/>
    <x v="4"/>
    <x v="3"/>
    <s v="Online Customer"/>
    <n v="9"/>
    <n v="195.94"/>
    <n v="20"/>
    <n v="1410.77"/>
    <n v="1410.768"/>
  </r>
  <r>
    <s v="HUL10205"/>
    <x v="155"/>
    <x v="9"/>
    <x v="2"/>
    <s v="Kolkata"/>
    <x v="7"/>
    <x v="1"/>
    <s v="Wholesaler"/>
    <n v="26"/>
    <n v="292.67"/>
    <n v="0"/>
    <n v="7609.42"/>
    <n v="7609.42"/>
  </r>
  <r>
    <s v="HUL10206"/>
    <x v="70"/>
    <x v="2"/>
    <x v="0"/>
    <s v="Mumbai"/>
    <x v="4"/>
    <x v="0"/>
    <s v="Retailer"/>
    <n v="23"/>
    <n v="71.099999999999994"/>
    <n v="0"/>
    <n v="1635.3"/>
    <n v="1635.3"/>
  </r>
  <r>
    <s v="HUL10207"/>
    <x v="156"/>
    <x v="14"/>
    <x v="3"/>
    <s v="Kanpur"/>
    <x v="0"/>
    <x v="2"/>
    <s v="Retailer"/>
    <n v="30"/>
    <n v="104.73"/>
    <n v="10"/>
    <n v="2827.71"/>
    <n v="2827.71"/>
  </r>
  <r>
    <s v="HUL10208"/>
    <x v="115"/>
    <x v="12"/>
    <x v="3"/>
    <s v="Lucknow"/>
    <x v="0"/>
    <x v="3"/>
    <s v="Online Customer"/>
    <n v="4"/>
    <n v="113.39"/>
    <n v="20"/>
    <n v="362.85"/>
    <n v="362.84800000000001"/>
  </r>
  <r>
    <s v="HUL10209"/>
    <x v="157"/>
    <x v="7"/>
    <x v="0"/>
    <s v="Kanpur"/>
    <x v="0"/>
    <x v="2"/>
    <s v="Retailer"/>
    <n v="3"/>
    <n v="178.47"/>
    <n v="10"/>
    <n v="481.87"/>
    <n v="481.86899999999997"/>
  </r>
  <r>
    <s v="HUL10210"/>
    <x v="158"/>
    <x v="3"/>
    <x v="0"/>
    <s v="Hyderabad"/>
    <x v="8"/>
    <x v="1"/>
    <s v="Retailer"/>
    <n v="3"/>
    <n v="225.21"/>
    <n v="0"/>
    <n v="675.63"/>
    <n v="675.63"/>
  </r>
  <r>
    <s v="HUL10211"/>
    <x v="36"/>
    <x v="7"/>
    <x v="0"/>
    <s v="Jaipur"/>
    <x v="1"/>
    <x v="1"/>
    <s v="Online Customer"/>
    <n v="3"/>
    <n v="176.7"/>
    <n v="10"/>
    <n v="477.09"/>
    <n v="477.08999999999992"/>
  </r>
  <r>
    <s v="HUL10212"/>
    <x v="13"/>
    <x v="1"/>
    <x v="0"/>
    <s v="Delhi"/>
    <x v="3"/>
    <x v="2"/>
    <s v="Retailer"/>
    <n v="29"/>
    <n v="133.66999999999999"/>
    <n v="15"/>
    <n v="3294.97"/>
    <n v="3294.9654999999998"/>
  </r>
  <r>
    <s v="HUL10213"/>
    <x v="159"/>
    <x v="12"/>
    <x v="3"/>
    <s v="Bengaluru"/>
    <x v="6"/>
    <x v="0"/>
    <s v="Wholesaler"/>
    <n v="30"/>
    <n v="129.76"/>
    <n v="10"/>
    <n v="3503.52"/>
    <n v="3503.52"/>
  </r>
  <r>
    <s v="HUL10214"/>
    <x v="160"/>
    <x v="2"/>
    <x v="0"/>
    <s v="Delhi"/>
    <x v="3"/>
    <x v="3"/>
    <s v="Online Customer"/>
    <n v="14"/>
    <n v="61.97"/>
    <n v="10"/>
    <n v="780.82"/>
    <n v="780.822"/>
  </r>
  <r>
    <s v="HUL10215"/>
    <x v="161"/>
    <x v="2"/>
    <x v="0"/>
    <s v="Ahmedabad"/>
    <x v="5"/>
    <x v="0"/>
    <s v="Online Customer"/>
    <n v="28"/>
    <n v="60.59"/>
    <n v="20"/>
    <n v="1357.22"/>
    <n v="1357.2160000000001"/>
  </r>
  <r>
    <s v="HUL10216"/>
    <x v="98"/>
    <x v="9"/>
    <x v="2"/>
    <s v="Hyderabad"/>
    <x v="8"/>
    <x v="0"/>
    <s v="Wholesaler"/>
    <n v="5"/>
    <n v="317.35000000000002"/>
    <n v="15"/>
    <n v="1348.74"/>
    <n v="1348.7375"/>
  </r>
  <r>
    <s v="HUL10217"/>
    <x v="24"/>
    <x v="15"/>
    <x v="0"/>
    <s v="Chennai"/>
    <x v="2"/>
    <x v="0"/>
    <s v="Wholesaler"/>
    <n v="26"/>
    <n v="199.29"/>
    <n v="5"/>
    <n v="4922.46"/>
    <n v="4922.4629999999997"/>
  </r>
  <r>
    <s v="HUL10218"/>
    <x v="80"/>
    <x v="4"/>
    <x v="0"/>
    <s v="Jaipur"/>
    <x v="1"/>
    <x v="2"/>
    <s v="Online Customer"/>
    <n v="19"/>
    <n v="127.63"/>
    <n v="20"/>
    <n v="1939.98"/>
    <n v="1939.9759999999999"/>
  </r>
  <r>
    <s v="HUL10219"/>
    <x v="146"/>
    <x v="0"/>
    <x v="0"/>
    <s v="Delhi"/>
    <x v="3"/>
    <x v="3"/>
    <s v="Retailer"/>
    <n v="15"/>
    <n v="53.09"/>
    <n v="0"/>
    <n v="796.35"/>
    <n v="796.35"/>
  </r>
  <r>
    <s v="HUL10220"/>
    <x v="162"/>
    <x v="2"/>
    <x v="0"/>
    <s v="Delhi"/>
    <x v="3"/>
    <x v="3"/>
    <s v="Retailer"/>
    <n v="4"/>
    <n v="60.17"/>
    <n v="10"/>
    <n v="216.61"/>
    <n v="216.61200000000002"/>
  </r>
  <r>
    <s v="HUL10221"/>
    <x v="163"/>
    <x v="7"/>
    <x v="0"/>
    <s v="Delhi"/>
    <x v="3"/>
    <x v="1"/>
    <s v="Online Customer"/>
    <n v="6"/>
    <n v="165.69"/>
    <n v="15"/>
    <n v="845.02"/>
    <n v="845.01900000000001"/>
  </r>
  <r>
    <s v="HUL10222"/>
    <x v="164"/>
    <x v="10"/>
    <x v="3"/>
    <s v="Delhi"/>
    <x v="3"/>
    <x v="3"/>
    <s v="Online Customer"/>
    <n v="18"/>
    <n v="158.13"/>
    <n v="0"/>
    <n v="2846.34"/>
    <n v="2846.34"/>
  </r>
  <r>
    <s v="HUL10223"/>
    <x v="165"/>
    <x v="13"/>
    <x v="0"/>
    <s v="Kolkata"/>
    <x v="7"/>
    <x v="3"/>
    <s v="Online Customer"/>
    <n v="19"/>
    <n v="80.569999999999993"/>
    <n v="20"/>
    <n v="1224.6600000000001"/>
    <n v="1224.664"/>
  </r>
  <r>
    <s v="HUL10224"/>
    <x v="166"/>
    <x v="10"/>
    <x v="3"/>
    <s v="Chennai"/>
    <x v="2"/>
    <x v="1"/>
    <s v="Retailer"/>
    <n v="13"/>
    <n v="135.74"/>
    <n v="10"/>
    <n v="1588.16"/>
    <n v="1588.1580000000001"/>
  </r>
  <r>
    <s v="HUL10225"/>
    <x v="136"/>
    <x v="13"/>
    <x v="0"/>
    <s v="Noida"/>
    <x v="0"/>
    <x v="1"/>
    <s v="Wholesaler"/>
    <n v="24"/>
    <n v="74.19"/>
    <n v="5"/>
    <n v="1691.53"/>
    <n v="1691.5319999999999"/>
  </r>
  <r>
    <s v="HUL10226"/>
    <x v="167"/>
    <x v="10"/>
    <x v="3"/>
    <s v="Lucknow"/>
    <x v="0"/>
    <x v="1"/>
    <s v="Retailer"/>
    <n v="10"/>
    <n v="139.91"/>
    <n v="20"/>
    <n v="1119.28"/>
    <n v="1119.28"/>
  </r>
  <r>
    <s v="HUL10227"/>
    <x v="168"/>
    <x v="4"/>
    <x v="0"/>
    <s v="Kanpur"/>
    <x v="0"/>
    <x v="3"/>
    <s v="Wholesaler"/>
    <n v="16"/>
    <n v="124.33"/>
    <n v="10"/>
    <n v="1790.35"/>
    <n v="1790.3520000000001"/>
  </r>
  <r>
    <s v="HUL10228"/>
    <x v="169"/>
    <x v="14"/>
    <x v="3"/>
    <s v="Lucknow"/>
    <x v="0"/>
    <x v="2"/>
    <s v="Retailer"/>
    <n v="22"/>
    <n v="119.01"/>
    <n v="20"/>
    <n v="2094.58"/>
    <n v="2094.5760000000005"/>
  </r>
  <r>
    <s v="HUL10229"/>
    <x v="118"/>
    <x v="13"/>
    <x v="0"/>
    <s v="Noida"/>
    <x v="0"/>
    <x v="0"/>
    <s v="Retailer"/>
    <n v="4"/>
    <n v="72.180000000000007"/>
    <n v="5"/>
    <n v="274.27999999999997"/>
    <n v="274.28399999999999"/>
  </r>
  <r>
    <s v="HUL10230"/>
    <x v="170"/>
    <x v="12"/>
    <x v="3"/>
    <s v="Noida"/>
    <x v="0"/>
    <x v="3"/>
    <s v="Retailer"/>
    <n v="26"/>
    <n v="125.16"/>
    <n v="5"/>
    <n v="3091.45"/>
    <n v="3091.4519999999998"/>
  </r>
  <r>
    <s v="HUL10231"/>
    <x v="92"/>
    <x v="3"/>
    <x v="0"/>
    <s v="Chennai"/>
    <x v="2"/>
    <x v="3"/>
    <s v="Wholesaler"/>
    <n v="26"/>
    <n v="225.48"/>
    <n v="20"/>
    <n v="4689.9799999999996"/>
    <n v="4689.9839999999995"/>
  </r>
  <r>
    <s v="HUL10232"/>
    <x v="171"/>
    <x v="5"/>
    <x v="1"/>
    <s v="Chennai"/>
    <x v="2"/>
    <x v="2"/>
    <s v="Wholesaler"/>
    <n v="21"/>
    <n v="135.54"/>
    <n v="20"/>
    <n v="2277.0700000000002"/>
    <n v="2277.0719999999997"/>
  </r>
  <r>
    <s v="HUL10233"/>
    <x v="172"/>
    <x v="2"/>
    <x v="0"/>
    <s v="Ahmedabad"/>
    <x v="5"/>
    <x v="2"/>
    <s v="Online Customer"/>
    <n v="21"/>
    <n v="68.849999999999994"/>
    <n v="0"/>
    <n v="1445.85"/>
    <n v="1445.85"/>
  </r>
  <r>
    <s v="HUL10234"/>
    <x v="173"/>
    <x v="6"/>
    <x v="2"/>
    <s v="Pune"/>
    <x v="4"/>
    <x v="0"/>
    <s v="Wholesaler"/>
    <n v="13"/>
    <n v="275.36"/>
    <n v="0"/>
    <n v="3579.68"/>
    <n v="3579.6800000000003"/>
  </r>
  <r>
    <s v="HUL10235"/>
    <x v="174"/>
    <x v="11"/>
    <x v="1"/>
    <s v="Hyderabad"/>
    <x v="8"/>
    <x v="3"/>
    <s v="Online Customer"/>
    <n v="23"/>
    <n v="243.93"/>
    <n v="20"/>
    <n v="4488.3100000000004"/>
    <n v="4488.3120000000008"/>
  </r>
  <r>
    <s v="HUL10236"/>
    <x v="113"/>
    <x v="2"/>
    <x v="0"/>
    <s v="Chennai"/>
    <x v="2"/>
    <x v="3"/>
    <s v="Retailer"/>
    <n v="18"/>
    <n v="58.65"/>
    <n v="5"/>
    <n v="1002.92"/>
    <n v="1002.915"/>
  </r>
  <r>
    <s v="HUL10237"/>
    <x v="145"/>
    <x v="12"/>
    <x v="3"/>
    <s v="Mumbai"/>
    <x v="4"/>
    <x v="3"/>
    <s v="Online Customer"/>
    <n v="14"/>
    <n v="126.17"/>
    <n v="15"/>
    <n v="1501.42"/>
    <n v="1501.423"/>
  </r>
  <r>
    <s v="HUL10238"/>
    <x v="55"/>
    <x v="7"/>
    <x v="0"/>
    <s v="Bengaluru"/>
    <x v="6"/>
    <x v="1"/>
    <s v="Wholesaler"/>
    <n v="20"/>
    <n v="165.78"/>
    <n v="0"/>
    <n v="3315.6"/>
    <n v="3315.6"/>
  </r>
  <r>
    <s v="HUL10239"/>
    <x v="175"/>
    <x v="7"/>
    <x v="0"/>
    <s v="Mumbai"/>
    <x v="4"/>
    <x v="2"/>
    <s v="Retailer"/>
    <n v="11"/>
    <n v="189.93"/>
    <n v="5"/>
    <n v="1984.77"/>
    <n v="1984.7684999999999"/>
  </r>
  <r>
    <s v="HUL10240"/>
    <x v="176"/>
    <x v="12"/>
    <x v="3"/>
    <s v="Lucknow"/>
    <x v="0"/>
    <x v="0"/>
    <s v="Retailer"/>
    <n v="14"/>
    <n v="109.98"/>
    <n v="20"/>
    <n v="1231.78"/>
    <n v="1231.7760000000001"/>
  </r>
  <r>
    <s v="HUL10241"/>
    <x v="46"/>
    <x v="1"/>
    <x v="0"/>
    <s v="Mumbai"/>
    <x v="4"/>
    <x v="1"/>
    <s v="Wholesaler"/>
    <n v="7"/>
    <n v="146.96"/>
    <n v="5"/>
    <n v="977.28"/>
    <n v="977.28399999999999"/>
  </r>
  <r>
    <s v="HUL10242"/>
    <x v="157"/>
    <x v="12"/>
    <x v="3"/>
    <s v="Kolkata"/>
    <x v="7"/>
    <x v="1"/>
    <s v="Retailer"/>
    <n v="9"/>
    <n v="123.27"/>
    <n v="10"/>
    <n v="998.49"/>
    <n v="998.48700000000008"/>
  </r>
  <r>
    <s v="HUL10243"/>
    <x v="165"/>
    <x v="13"/>
    <x v="0"/>
    <s v="Hyderabad"/>
    <x v="8"/>
    <x v="2"/>
    <s v="Retailer"/>
    <n v="8"/>
    <n v="76.69"/>
    <n v="0"/>
    <n v="613.52"/>
    <n v="613.52"/>
  </r>
  <r>
    <s v="HUL10244"/>
    <x v="98"/>
    <x v="2"/>
    <x v="0"/>
    <s v="Bengaluru"/>
    <x v="6"/>
    <x v="2"/>
    <s v="Wholesaler"/>
    <n v="21"/>
    <n v="62.91"/>
    <n v="10"/>
    <n v="1189"/>
    <n v="1188.999"/>
  </r>
  <r>
    <s v="HUL10245"/>
    <x v="177"/>
    <x v="4"/>
    <x v="0"/>
    <s v="Kanpur"/>
    <x v="0"/>
    <x v="3"/>
    <s v="Wholesaler"/>
    <n v="27"/>
    <n v="126.81"/>
    <n v="10"/>
    <n v="3081.48"/>
    <n v="3081.4830000000002"/>
  </r>
  <r>
    <s v="HUL10246"/>
    <x v="132"/>
    <x v="7"/>
    <x v="0"/>
    <s v="Ahmedabad"/>
    <x v="5"/>
    <x v="2"/>
    <s v="Wholesaler"/>
    <n v="12"/>
    <n v="188.09"/>
    <n v="15"/>
    <n v="1918.52"/>
    <n v="1918.5179999999998"/>
  </r>
  <r>
    <s v="HUL10247"/>
    <x v="74"/>
    <x v="3"/>
    <x v="0"/>
    <s v="Hyderabad"/>
    <x v="8"/>
    <x v="0"/>
    <s v="Online Customer"/>
    <n v="27"/>
    <n v="202.82"/>
    <n v="15"/>
    <n v="4654.72"/>
    <n v="4654.7189999999991"/>
  </r>
  <r>
    <s v="HUL10248"/>
    <x v="178"/>
    <x v="2"/>
    <x v="0"/>
    <s v="Pune"/>
    <x v="4"/>
    <x v="0"/>
    <s v="Online Customer"/>
    <n v="20"/>
    <n v="60.6"/>
    <n v="5"/>
    <n v="1151.4000000000001"/>
    <n v="1151.3999999999999"/>
  </r>
  <r>
    <s v="HUL10249"/>
    <x v="154"/>
    <x v="13"/>
    <x v="0"/>
    <s v="Jaipur"/>
    <x v="1"/>
    <x v="3"/>
    <s v="Retailer"/>
    <n v="28"/>
    <n v="77.25"/>
    <n v="5"/>
    <n v="2054.85"/>
    <n v="2054.85"/>
  </r>
  <r>
    <s v="HUL10250"/>
    <x v="179"/>
    <x v="14"/>
    <x v="3"/>
    <s v="Mumbai"/>
    <x v="4"/>
    <x v="1"/>
    <s v="Online Customer"/>
    <n v="2"/>
    <n v="117.49"/>
    <n v="0"/>
    <n v="234.98"/>
    <n v="234.98"/>
  </r>
  <r>
    <s v="HUL10251"/>
    <x v="180"/>
    <x v="15"/>
    <x v="0"/>
    <s v="Kolkata"/>
    <x v="7"/>
    <x v="0"/>
    <s v="Retailer"/>
    <n v="5"/>
    <n v="230.36"/>
    <n v="15"/>
    <n v="979.03"/>
    <n v="979.03000000000009"/>
  </r>
  <r>
    <s v="HUL10252"/>
    <x v="82"/>
    <x v="12"/>
    <x v="3"/>
    <s v="Lucknow"/>
    <x v="0"/>
    <x v="1"/>
    <s v="Retailer"/>
    <n v="5"/>
    <n v="108.71"/>
    <n v="5"/>
    <n v="516.37"/>
    <n v="516.37249999999995"/>
  </r>
  <r>
    <s v="HUL10253"/>
    <x v="181"/>
    <x v="12"/>
    <x v="3"/>
    <s v="Delhi"/>
    <x v="3"/>
    <x v="3"/>
    <s v="Wholesaler"/>
    <n v="8"/>
    <n v="114.64"/>
    <n v="10"/>
    <n v="825.41"/>
    <n v="825.40800000000002"/>
  </r>
  <r>
    <s v="HUL10254"/>
    <x v="182"/>
    <x v="13"/>
    <x v="0"/>
    <s v="Ahmedabad"/>
    <x v="5"/>
    <x v="1"/>
    <s v="Retailer"/>
    <n v="19"/>
    <n v="76.97"/>
    <n v="0"/>
    <n v="1462.43"/>
    <n v="1462.43"/>
  </r>
  <r>
    <s v="HUL10255"/>
    <x v="138"/>
    <x v="1"/>
    <x v="0"/>
    <s v="Bengaluru"/>
    <x v="6"/>
    <x v="3"/>
    <s v="Wholesaler"/>
    <n v="24"/>
    <n v="148.84"/>
    <n v="5"/>
    <n v="3393.55"/>
    <n v="3393.5519999999997"/>
  </r>
  <r>
    <s v="HUL10256"/>
    <x v="169"/>
    <x v="15"/>
    <x v="0"/>
    <s v="Mumbai"/>
    <x v="4"/>
    <x v="0"/>
    <s v="Retailer"/>
    <n v="23"/>
    <n v="236.31"/>
    <n v="0"/>
    <n v="5435.13"/>
    <n v="5435.13"/>
  </r>
  <r>
    <s v="HUL10257"/>
    <x v="183"/>
    <x v="12"/>
    <x v="3"/>
    <s v="Pune"/>
    <x v="4"/>
    <x v="2"/>
    <s v="Retailer"/>
    <n v="28"/>
    <n v="115.49"/>
    <n v="15"/>
    <n v="2748.66"/>
    <n v="2748.6619999999998"/>
  </r>
  <r>
    <s v="HUL10258"/>
    <x v="184"/>
    <x v="14"/>
    <x v="3"/>
    <s v="Jaipur"/>
    <x v="1"/>
    <x v="0"/>
    <s v="Online Customer"/>
    <n v="2"/>
    <n v="116.02"/>
    <n v="15"/>
    <n v="197.23"/>
    <n v="197.23399999999998"/>
  </r>
  <r>
    <s v="HUL10259"/>
    <x v="93"/>
    <x v="0"/>
    <x v="0"/>
    <s v="Chennai"/>
    <x v="2"/>
    <x v="2"/>
    <s v="Online Customer"/>
    <n v="23"/>
    <n v="51.37"/>
    <n v="5"/>
    <n v="1122.43"/>
    <n v="1122.4344999999998"/>
  </r>
  <r>
    <s v="HUL10260"/>
    <x v="185"/>
    <x v="1"/>
    <x v="0"/>
    <s v="Ahmedabad"/>
    <x v="5"/>
    <x v="2"/>
    <s v="Retailer"/>
    <n v="2"/>
    <n v="143.53"/>
    <n v="10"/>
    <n v="258.35000000000002"/>
    <n v="258.35399999999998"/>
  </r>
  <r>
    <s v="HUL10261"/>
    <x v="165"/>
    <x v="7"/>
    <x v="0"/>
    <s v="Mumbai"/>
    <x v="4"/>
    <x v="3"/>
    <s v="Retailer"/>
    <n v="12"/>
    <n v="188.51"/>
    <n v="20"/>
    <n v="1809.7"/>
    <n v="1809.6959999999999"/>
  </r>
  <r>
    <s v="HUL10262"/>
    <x v="186"/>
    <x v="15"/>
    <x v="0"/>
    <s v="Lucknow"/>
    <x v="0"/>
    <x v="0"/>
    <s v="Online Customer"/>
    <n v="16"/>
    <n v="222.56"/>
    <n v="10"/>
    <n v="3204.86"/>
    <n v="3204.864"/>
  </r>
  <r>
    <s v="HUL10263"/>
    <x v="187"/>
    <x v="12"/>
    <x v="3"/>
    <s v="Hyderabad"/>
    <x v="8"/>
    <x v="1"/>
    <s v="Retailer"/>
    <n v="21"/>
    <n v="109.24"/>
    <n v="0"/>
    <n v="2294.04"/>
    <n v="2294.04"/>
  </r>
  <r>
    <s v="HUL10264"/>
    <x v="60"/>
    <x v="14"/>
    <x v="3"/>
    <s v="Mumbai"/>
    <x v="4"/>
    <x v="0"/>
    <s v="Retailer"/>
    <n v="28"/>
    <n v="105.96"/>
    <n v="0"/>
    <n v="2966.88"/>
    <n v="2966.8799999999997"/>
  </r>
  <r>
    <s v="HUL10265"/>
    <x v="27"/>
    <x v="6"/>
    <x v="2"/>
    <s v="Ahmedabad"/>
    <x v="5"/>
    <x v="2"/>
    <s v="Retailer"/>
    <n v="19"/>
    <n v="316.98"/>
    <n v="10"/>
    <n v="5420.36"/>
    <n v="5420.3580000000011"/>
  </r>
  <r>
    <s v="HUL10266"/>
    <x v="156"/>
    <x v="12"/>
    <x v="3"/>
    <s v="Hyderabad"/>
    <x v="8"/>
    <x v="2"/>
    <s v="Retailer"/>
    <n v="26"/>
    <n v="121.92"/>
    <n v="10"/>
    <n v="2852.93"/>
    <n v="2852.9280000000003"/>
  </r>
  <r>
    <s v="HUL10267"/>
    <x v="137"/>
    <x v="0"/>
    <x v="0"/>
    <s v="Ahmedabad"/>
    <x v="5"/>
    <x v="2"/>
    <s v="Online Customer"/>
    <n v="14"/>
    <n v="51.08"/>
    <n v="5"/>
    <n v="679.36"/>
    <n v="679.36399999999992"/>
  </r>
  <r>
    <s v="HUL10268"/>
    <x v="163"/>
    <x v="3"/>
    <x v="0"/>
    <s v="Pune"/>
    <x v="4"/>
    <x v="3"/>
    <s v="Wholesaler"/>
    <n v="22"/>
    <n v="192.94"/>
    <n v="20"/>
    <n v="3395.74"/>
    <n v="3395.7440000000006"/>
  </r>
  <r>
    <s v="HUL10269"/>
    <x v="188"/>
    <x v="13"/>
    <x v="0"/>
    <s v="Jaipur"/>
    <x v="1"/>
    <x v="1"/>
    <s v="Wholesaler"/>
    <n v="16"/>
    <n v="77.89"/>
    <n v="5"/>
    <n v="1183.93"/>
    <n v="1183.9279999999999"/>
  </r>
  <r>
    <s v="HUL10270"/>
    <x v="189"/>
    <x v="12"/>
    <x v="3"/>
    <s v="Lucknow"/>
    <x v="0"/>
    <x v="2"/>
    <s v="Online Customer"/>
    <n v="9"/>
    <n v="126.44"/>
    <n v="10"/>
    <n v="1024.1600000000001"/>
    <n v="1024.164"/>
  </r>
  <r>
    <s v="HUL10271"/>
    <x v="190"/>
    <x v="7"/>
    <x v="0"/>
    <s v="Kanpur"/>
    <x v="0"/>
    <x v="0"/>
    <s v="Retailer"/>
    <n v="20"/>
    <n v="195.87"/>
    <n v="20"/>
    <n v="3133.92"/>
    <n v="3133.92"/>
  </r>
  <r>
    <s v="HUL10272"/>
    <x v="191"/>
    <x v="15"/>
    <x v="0"/>
    <s v="Hyderabad"/>
    <x v="8"/>
    <x v="2"/>
    <s v="Wholesaler"/>
    <n v="29"/>
    <n v="205.01"/>
    <n v="0"/>
    <n v="5945.29"/>
    <n v="5945.29"/>
  </r>
  <r>
    <s v="HUL10273"/>
    <x v="153"/>
    <x v="7"/>
    <x v="0"/>
    <s v="Hyderabad"/>
    <x v="8"/>
    <x v="3"/>
    <s v="Retailer"/>
    <n v="10"/>
    <n v="165.26"/>
    <n v="0"/>
    <n v="1652.6"/>
    <n v="1652.6"/>
  </r>
  <r>
    <s v="HUL10274"/>
    <x v="192"/>
    <x v="12"/>
    <x v="3"/>
    <s v="Mumbai"/>
    <x v="4"/>
    <x v="2"/>
    <s v="Wholesaler"/>
    <n v="20"/>
    <n v="127.39"/>
    <n v="5"/>
    <n v="2420.41"/>
    <n v="2420.41"/>
  </r>
  <r>
    <s v="HUL10275"/>
    <x v="46"/>
    <x v="14"/>
    <x v="3"/>
    <s v="Chennai"/>
    <x v="2"/>
    <x v="0"/>
    <s v="Wholesaler"/>
    <n v="23"/>
    <n v="113.28"/>
    <n v="20"/>
    <n v="2084.35"/>
    <n v="2084.3520000000003"/>
  </r>
  <r>
    <s v="HUL10276"/>
    <x v="93"/>
    <x v="8"/>
    <x v="3"/>
    <s v="Ahmedabad"/>
    <x v="5"/>
    <x v="2"/>
    <s v="Online Customer"/>
    <n v="16"/>
    <n v="290.95"/>
    <n v="15"/>
    <n v="3956.92"/>
    <n v="3956.9199999999996"/>
  </r>
  <r>
    <s v="HUL10277"/>
    <x v="86"/>
    <x v="7"/>
    <x v="0"/>
    <s v="Lucknow"/>
    <x v="0"/>
    <x v="0"/>
    <s v="Retailer"/>
    <n v="4"/>
    <n v="170.18"/>
    <n v="5"/>
    <n v="646.67999999999995"/>
    <n v="646.68399999999997"/>
  </r>
  <r>
    <s v="HUL10278"/>
    <x v="193"/>
    <x v="14"/>
    <x v="3"/>
    <s v="Bengaluru"/>
    <x v="6"/>
    <x v="2"/>
    <s v="Wholesaler"/>
    <n v="11"/>
    <n v="115.71"/>
    <n v="0"/>
    <n v="1272.81"/>
    <n v="1272.81"/>
  </r>
  <r>
    <s v="HUL10279"/>
    <x v="194"/>
    <x v="15"/>
    <x v="0"/>
    <s v="Kolkata"/>
    <x v="7"/>
    <x v="3"/>
    <s v="Wholesaler"/>
    <n v="7"/>
    <n v="238.23"/>
    <n v="20"/>
    <n v="1334.09"/>
    <n v="1334.088"/>
  </r>
  <r>
    <s v="HUL10280"/>
    <x v="82"/>
    <x v="7"/>
    <x v="0"/>
    <s v="Ahmedabad"/>
    <x v="5"/>
    <x v="0"/>
    <s v="Wholesaler"/>
    <n v="17"/>
    <n v="182.89"/>
    <n v="15"/>
    <n v="2642.76"/>
    <n v="2642.7604999999994"/>
  </r>
  <r>
    <s v="HUL10281"/>
    <x v="195"/>
    <x v="5"/>
    <x v="1"/>
    <s v="Chennai"/>
    <x v="2"/>
    <x v="3"/>
    <s v="Online Customer"/>
    <n v="7"/>
    <n v="157.41"/>
    <n v="15"/>
    <n v="936.59"/>
    <n v="936.58949999999993"/>
  </r>
  <r>
    <s v="HUL10282"/>
    <x v="123"/>
    <x v="0"/>
    <x v="0"/>
    <s v="Chennai"/>
    <x v="2"/>
    <x v="1"/>
    <s v="Online Customer"/>
    <n v="22"/>
    <n v="59.38"/>
    <n v="0"/>
    <n v="1306.3599999999999"/>
    <n v="1306.3600000000001"/>
  </r>
  <r>
    <s v="HUL10283"/>
    <x v="186"/>
    <x v="4"/>
    <x v="0"/>
    <s v="Noida"/>
    <x v="0"/>
    <x v="1"/>
    <s v="Retailer"/>
    <n v="14"/>
    <n v="116.44"/>
    <n v="5"/>
    <n v="1548.65"/>
    <n v="1548.6519999999998"/>
  </r>
  <r>
    <s v="HUL10284"/>
    <x v="133"/>
    <x v="9"/>
    <x v="2"/>
    <s v="Kanpur"/>
    <x v="0"/>
    <x v="3"/>
    <s v="Retailer"/>
    <n v="21"/>
    <n v="320.55"/>
    <n v="20"/>
    <n v="5385.24"/>
    <n v="5385.2400000000007"/>
  </r>
  <r>
    <s v="HUL10285"/>
    <x v="196"/>
    <x v="3"/>
    <x v="0"/>
    <s v="Noida"/>
    <x v="0"/>
    <x v="3"/>
    <s v="Wholesaler"/>
    <n v="5"/>
    <n v="219.14"/>
    <n v="5"/>
    <n v="1040.9100000000001"/>
    <n v="1040.9149999999997"/>
  </r>
  <r>
    <s v="HUL10286"/>
    <x v="162"/>
    <x v="10"/>
    <x v="3"/>
    <s v="Kolkata"/>
    <x v="7"/>
    <x v="0"/>
    <s v="Wholesaler"/>
    <n v="12"/>
    <n v="138.69999999999999"/>
    <n v="15"/>
    <n v="1414.74"/>
    <n v="1414.7399999999998"/>
  </r>
  <r>
    <s v="HUL10287"/>
    <x v="169"/>
    <x v="0"/>
    <x v="0"/>
    <s v="Pune"/>
    <x v="4"/>
    <x v="1"/>
    <s v="Retailer"/>
    <n v="11"/>
    <n v="51.54"/>
    <n v="15"/>
    <n v="481.9"/>
    <n v="481.89899999999994"/>
  </r>
  <r>
    <s v="HUL10288"/>
    <x v="142"/>
    <x v="10"/>
    <x v="3"/>
    <s v="Mumbai"/>
    <x v="4"/>
    <x v="1"/>
    <s v="Wholesaler"/>
    <n v="2"/>
    <n v="146.21"/>
    <n v="20"/>
    <n v="233.94"/>
    <n v="233.93600000000004"/>
  </r>
  <r>
    <s v="HUL10289"/>
    <x v="197"/>
    <x v="5"/>
    <x v="1"/>
    <s v="Chennai"/>
    <x v="2"/>
    <x v="0"/>
    <s v="Online Customer"/>
    <n v="23"/>
    <n v="159.58000000000001"/>
    <n v="15"/>
    <n v="3119.79"/>
    <n v="3119.7890000000002"/>
  </r>
  <r>
    <s v="HUL10290"/>
    <x v="194"/>
    <x v="7"/>
    <x v="0"/>
    <s v="Kolkata"/>
    <x v="7"/>
    <x v="3"/>
    <s v="Wholesaler"/>
    <n v="26"/>
    <n v="192.24"/>
    <n v="0"/>
    <n v="4998.24"/>
    <n v="4998.24"/>
  </r>
  <r>
    <s v="HUL10291"/>
    <x v="198"/>
    <x v="4"/>
    <x v="0"/>
    <s v="Jaipur"/>
    <x v="1"/>
    <x v="3"/>
    <s v="Wholesaler"/>
    <n v="25"/>
    <n v="127.74"/>
    <n v="15"/>
    <n v="2714.48"/>
    <n v="2714.4749999999999"/>
  </r>
  <r>
    <s v="HUL10292"/>
    <x v="56"/>
    <x v="1"/>
    <x v="0"/>
    <s v="Hyderabad"/>
    <x v="8"/>
    <x v="2"/>
    <s v="Online Customer"/>
    <n v="5"/>
    <n v="134.84"/>
    <n v="5"/>
    <n v="640.49"/>
    <n v="640.49"/>
  </r>
  <r>
    <s v="HUL10293"/>
    <x v="130"/>
    <x v="5"/>
    <x v="1"/>
    <s v="Lucknow"/>
    <x v="0"/>
    <x v="1"/>
    <s v="Wholesaler"/>
    <n v="2"/>
    <n v="141.5"/>
    <n v="0"/>
    <n v="283"/>
    <n v="283"/>
  </r>
  <r>
    <s v="HUL10294"/>
    <x v="199"/>
    <x v="11"/>
    <x v="1"/>
    <s v="Jaipur"/>
    <x v="1"/>
    <x v="1"/>
    <s v="Online Customer"/>
    <n v="29"/>
    <n v="225.9"/>
    <n v="10"/>
    <n v="5895.99"/>
    <n v="5895.9900000000007"/>
  </r>
  <r>
    <s v="HUL10295"/>
    <x v="200"/>
    <x v="7"/>
    <x v="0"/>
    <s v="Hyderabad"/>
    <x v="8"/>
    <x v="2"/>
    <s v="Retailer"/>
    <n v="3"/>
    <n v="171.88"/>
    <n v="20"/>
    <n v="412.51"/>
    <n v="412.512"/>
  </r>
  <r>
    <s v="HUL10296"/>
    <x v="201"/>
    <x v="14"/>
    <x v="3"/>
    <s v="Kolkata"/>
    <x v="7"/>
    <x v="2"/>
    <s v="Retailer"/>
    <n v="8"/>
    <n v="114.94"/>
    <n v="10"/>
    <n v="827.57"/>
    <n v="827.56799999999998"/>
  </r>
  <r>
    <s v="HUL10297"/>
    <x v="202"/>
    <x v="3"/>
    <x v="0"/>
    <s v="Noida"/>
    <x v="0"/>
    <x v="3"/>
    <s v="Wholesaler"/>
    <n v="7"/>
    <n v="213.29"/>
    <n v="20"/>
    <n v="1194.42"/>
    <n v="1194.424"/>
  </r>
  <r>
    <s v="HUL10298"/>
    <x v="203"/>
    <x v="2"/>
    <x v="0"/>
    <s v="Jaipur"/>
    <x v="1"/>
    <x v="0"/>
    <s v="Online Customer"/>
    <n v="10"/>
    <n v="62.7"/>
    <n v="10"/>
    <n v="564.29999999999995"/>
    <n v="564.30000000000007"/>
  </r>
  <r>
    <s v="HUL10299"/>
    <x v="204"/>
    <x v="7"/>
    <x v="0"/>
    <s v="Pune"/>
    <x v="4"/>
    <x v="3"/>
    <s v="Retailer"/>
    <n v="18"/>
    <n v="191.95"/>
    <n v="15"/>
    <n v="2936.84"/>
    <n v="2936.835"/>
  </r>
  <r>
    <s v="HUL10300"/>
    <x v="205"/>
    <x v="3"/>
    <x v="0"/>
    <s v="Chennai"/>
    <x v="2"/>
    <x v="3"/>
    <s v="Retailer"/>
    <n v="9"/>
    <n v="225.96"/>
    <n v="5"/>
    <n v="1931.96"/>
    <n v="1931.9580000000001"/>
  </r>
  <r>
    <s v="HUL10301"/>
    <x v="140"/>
    <x v="13"/>
    <x v="0"/>
    <s v="Ahmedabad"/>
    <x v="5"/>
    <x v="0"/>
    <s v="Wholesaler"/>
    <n v="4"/>
    <n v="70.349999999999994"/>
    <n v="5"/>
    <n v="267.33"/>
    <n v="267.33"/>
  </r>
  <r>
    <s v="HUL10302"/>
    <x v="7"/>
    <x v="3"/>
    <x v="0"/>
    <s v="Delhi"/>
    <x v="3"/>
    <x v="2"/>
    <s v="Retailer"/>
    <n v="4"/>
    <n v="219.69"/>
    <n v="15"/>
    <n v="746.95"/>
    <n v="746.94600000000003"/>
  </r>
  <r>
    <s v="HUL10303"/>
    <x v="50"/>
    <x v="13"/>
    <x v="0"/>
    <s v="Ahmedabad"/>
    <x v="5"/>
    <x v="2"/>
    <s v="Retailer"/>
    <n v="14"/>
    <n v="77.02"/>
    <n v="0"/>
    <n v="1078.28"/>
    <n v="1078.28"/>
  </r>
  <r>
    <s v="HUL10304"/>
    <x v="51"/>
    <x v="11"/>
    <x v="1"/>
    <s v="Kolkata"/>
    <x v="7"/>
    <x v="2"/>
    <s v="Wholesaler"/>
    <n v="26"/>
    <n v="255.45"/>
    <n v="15"/>
    <n v="5645.44"/>
    <n v="5645.4449999999997"/>
  </r>
  <r>
    <s v="HUL10305"/>
    <x v="63"/>
    <x v="11"/>
    <x v="1"/>
    <s v="Ahmedabad"/>
    <x v="5"/>
    <x v="3"/>
    <s v="Online Customer"/>
    <n v="17"/>
    <n v="234.36"/>
    <n v="15"/>
    <n v="3386.5"/>
    <n v="3386.5020000000004"/>
  </r>
  <r>
    <s v="HUL10306"/>
    <x v="206"/>
    <x v="2"/>
    <x v="0"/>
    <s v="Mumbai"/>
    <x v="4"/>
    <x v="0"/>
    <s v="Retailer"/>
    <n v="26"/>
    <n v="67.23"/>
    <n v="15"/>
    <n v="1485.78"/>
    <n v="1485.7829999999999"/>
  </r>
  <r>
    <s v="HUL10307"/>
    <x v="207"/>
    <x v="11"/>
    <x v="1"/>
    <s v="Lucknow"/>
    <x v="0"/>
    <x v="0"/>
    <s v="Wholesaler"/>
    <n v="21"/>
    <n v="250.02"/>
    <n v="15"/>
    <n v="4462.8599999999997"/>
    <n v="4462.857"/>
  </r>
  <r>
    <s v="HUL10308"/>
    <x v="208"/>
    <x v="12"/>
    <x v="3"/>
    <s v="Delhi"/>
    <x v="3"/>
    <x v="0"/>
    <s v="Retailer"/>
    <n v="3"/>
    <n v="130.49"/>
    <n v="0"/>
    <n v="391.47"/>
    <n v="391.47"/>
  </r>
  <r>
    <s v="HUL10309"/>
    <x v="46"/>
    <x v="14"/>
    <x v="3"/>
    <s v="Kanpur"/>
    <x v="0"/>
    <x v="2"/>
    <s v="Online Customer"/>
    <n v="27"/>
    <n v="112.21"/>
    <n v="10"/>
    <n v="2726.7"/>
    <n v="2726.7029999999995"/>
  </r>
  <r>
    <s v="HUL10310"/>
    <x v="173"/>
    <x v="13"/>
    <x v="0"/>
    <s v="Ahmedabad"/>
    <x v="5"/>
    <x v="0"/>
    <s v="Wholesaler"/>
    <n v="13"/>
    <n v="81.459999999999994"/>
    <n v="5"/>
    <n v="1006.03"/>
    <n v="1006.0309999999999"/>
  </r>
  <r>
    <s v="HUL10311"/>
    <x v="79"/>
    <x v="12"/>
    <x v="3"/>
    <s v="Noida"/>
    <x v="0"/>
    <x v="2"/>
    <s v="Wholesaler"/>
    <n v="15"/>
    <n v="127.34"/>
    <n v="15"/>
    <n v="1623.58"/>
    <n v="1623.585"/>
  </r>
  <r>
    <s v="HUL10312"/>
    <x v="209"/>
    <x v="7"/>
    <x v="0"/>
    <s v="Jaipur"/>
    <x v="1"/>
    <x v="1"/>
    <s v="Wholesaler"/>
    <n v="28"/>
    <n v="187.02"/>
    <n v="5"/>
    <n v="4974.7299999999996"/>
    <n v="4974.732"/>
  </r>
  <r>
    <s v="HUL10313"/>
    <x v="210"/>
    <x v="10"/>
    <x v="3"/>
    <s v="Delhi"/>
    <x v="3"/>
    <x v="3"/>
    <s v="Wholesaler"/>
    <n v="26"/>
    <n v="152.25"/>
    <n v="20"/>
    <n v="3166.8"/>
    <n v="3166.8"/>
  </r>
  <r>
    <s v="HUL10314"/>
    <x v="144"/>
    <x v="8"/>
    <x v="3"/>
    <s v="Kanpur"/>
    <x v="0"/>
    <x v="1"/>
    <s v="Wholesaler"/>
    <n v="2"/>
    <n v="285.95"/>
    <n v="20"/>
    <n v="457.52"/>
    <n v="457.52"/>
  </r>
  <r>
    <s v="HUL10315"/>
    <x v="74"/>
    <x v="9"/>
    <x v="2"/>
    <s v="Jaipur"/>
    <x v="1"/>
    <x v="2"/>
    <s v="Retailer"/>
    <n v="3"/>
    <n v="310.38"/>
    <n v="15"/>
    <n v="791.47"/>
    <n v="791.46899999999994"/>
  </r>
  <r>
    <s v="HUL10316"/>
    <x v="211"/>
    <x v="3"/>
    <x v="0"/>
    <s v="Ahmedabad"/>
    <x v="5"/>
    <x v="3"/>
    <s v="Retailer"/>
    <n v="15"/>
    <n v="225.8"/>
    <n v="20"/>
    <n v="2709.6"/>
    <n v="2709.6000000000004"/>
  </r>
  <r>
    <s v="HUL10317"/>
    <x v="207"/>
    <x v="5"/>
    <x v="1"/>
    <s v="Mumbai"/>
    <x v="4"/>
    <x v="3"/>
    <s v="Retailer"/>
    <n v="12"/>
    <n v="153.59"/>
    <n v="15"/>
    <n v="1566.62"/>
    <n v="1566.6179999999999"/>
  </r>
  <r>
    <s v="HUL10318"/>
    <x v="86"/>
    <x v="14"/>
    <x v="3"/>
    <s v="Noida"/>
    <x v="0"/>
    <x v="0"/>
    <s v="Online Customer"/>
    <n v="3"/>
    <n v="109.12"/>
    <n v="5"/>
    <n v="310.99"/>
    <n v="310.99200000000002"/>
  </r>
  <r>
    <s v="HUL10319"/>
    <x v="212"/>
    <x v="12"/>
    <x v="3"/>
    <s v="Bengaluru"/>
    <x v="6"/>
    <x v="1"/>
    <s v="Retailer"/>
    <n v="24"/>
    <n v="113.74"/>
    <n v="10"/>
    <n v="2456.7800000000002"/>
    <n v="2456.7839999999997"/>
  </r>
  <r>
    <s v="HUL10320"/>
    <x v="213"/>
    <x v="7"/>
    <x v="0"/>
    <s v="Ahmedabad"/>
    <x v="5"/>
    <x v="2"/>
    <s v="Wholesaler"/>
    <n v="20"/>
    <n v="168.4"/>
    <n v="15"/>
    <n v="2862.8"/>
    <n v="2862.7999999999997"/>
  </r>
  <r>
    <s v="HUL10321"/>
    <x v="214"/>
    <x v="10"/>
    <x v="3"/>
    <s v="Kanpur"/>
    <x v="0"/>
    <x v="1"/>
    <s v="Retailer"/>
    <n v="6"/>
    <n v="153.46"/>
    <n v="15"/>
    <n v="782.65"/>
    <n v="782.64599999999996"/>
  </r>
  <r>
    <s v="HUL10322"/>
    <x v="176"/>
    <x v="10"/>
    <x v="3"/>
    <s v="Kanpur"/>
    <x v="0"/>
    <x v="3"/>
    <s v="Wholesaler"/>
    <n v="8"/>
    <n v="156.72999999999999"/>
    <n v="20"/>
    <n v="1003.07"/>
    <n v="1003.072"/>
  </r>
  <r>
    <s v="HUL10323"/>
    <x v="120"/>
    <x v="5"/>
    <x v="1"/>
    <s v="Noida"/>
    <x v="0"/>
    <x v="1"/>
    <s v="Online Customer"/>
    <n v="29"/>
    <n v="149.44999999999999"/>
    <n v="20"/>
    <n v="3467.24"/>
    <n v="3467.24"/>
  </r>
  <r>
    <s v="HUL10324"/>
    <x v="199"/>
    <x v="15"/>
    <x v="0"/>
    <s v="Pune"/>
    <x v="4"/>
    <x v="2"/>
    <s v="Wholesaler"/>
    <n v="28"/>
    <n v="216.42"/>
    <n v="20"/>
    <n v="4847.8100000000004"/>
    <n v="4847.808"/>
  </r>
  <r>
    <s v="HUL10325"/>
    <x v="215"/>
    <x v="0"/>
    <x v="0"/>
    <s v="Kolkata"/>
    <x v="7"/>
    <x v="3"/>
    <s v="Online Customer"/>
    <n v="6"/>
    <n v="51.87"/>
    <n v="20"/>
    <n v="248.98"/>
    <n v="248.976"/>
  </r>
  <r>
    <s v="HUL10326"/>
    <x v="40"/>
    <x v="9"/>
    <x v="2"/>
    <s v="Jaipur"/>
    <x v="1"/>
    <x v="0"/>
    <s v="Wholesaler"/>
    <n v="6"/>
    <n v="338.49"/>
    <n v="15"/>
    <n v="1726.3"/>
    <n v="1726.299"/>
  </r>
  <r>
    <s v="HUL10327"/>
    <x v="141"/>
    <x v="4"/>
    <x v="0"/>
    <s v="Jaipur"/>
    <x v="1"/>
    <x v="3"/>
    <s v="Online Customer"/>
    <n v="22"/>
    <n v="119.72"/>
    <n v="15"/>
    <n v="2238.7600000000002"/>
    <n v="2238.7640000000001"/>
  </r>
  <r>
    <s v="HUL10328"/>
    <x v="216"/>
    <x v="10"/>
    <x v="3"/>
    <s v="Ahmedabad"/>
    <x v="5"/>
    <x v="2"/>
    <s v="Online Customer"/>
    <n v="10"/>
    <n v="153.41999999999999"/>
    <n v="20"/>
    <n v="1227.3599999999999"/>
    <n v="1227.3599999999999"/>
  </r>
  <r>
    <s v="HUL10329"/>
    <x v="217"/>
    <x v="15"/>
    <x v="0"/>
    <s v="Kolkata"/>
    <x v="7"/>
    <x v="0"/>
    <s v="Retailer"/>
    <n v="10"/>
    <n v="202.49"/>
    <n v="0"/>
    <n v="2024.9"/>
    <n v="2024.9"/>
  </r>
  <r>
    <s v="HUL10330"/>
    <x v="218"/>
    <x v="12"/>
    <x v="3"/>
    <s v="Ahmedabad"/>
    <x v="5"/>
    <x v="3"/>
    <s v="Retailer"/>
    <n v="2"/>
    <n v="128.18"/>
    <n v="5"/>
    <n v="243.54"/>
    <n v="243.542"/>
  </r>
  <r>
    <s v="HUL10331"/>
    <x v="219"/>
    <x v="15"/>
    <x v="0"/>
    <s v="Ahmedabad"/>
    <x v="5"/>
    <x v="1"/>
    <s v="Online Customer"/>
    <n v="3"/>
    <n v="215"/>
    <n v="0"/>
    <n v="645"/>
    <n v="645"/>
  </r>
  <r>
    <s v="HUL10332"/>
    <x v="132"/>
    <x v="8"/>
    <x v="3"/>
    <s v="Ahmedabad"/>
    <x v="5"/>
    <x v="1"/>
    <s v="Retailer"/>
    <n v="20"/>
    <n v="257.92"/>
    <n v="15"/>
    <n v="4384.6400000000003"/>
    <n v="4384.6400000000003"/>
  </r>
  <r>
    <s v="HUL10333"/>
    <x v="180"/>
    <x v="15"/>
    <x v="0"/>
    <s v="Bengaluru"/>
    <x v="6"/>
    <x v="0"/>
    <s v="Retailer"/>
    <n v="24"/>
    <n v="229.52"/>
    <n v="20"/>
    <n v="4406.78"/>
    <n v="4406.7840000000006"/>
  </r>
  <r>
    <s v="HUL10334"/>
    <x v="109"/>
    <x v="8"/>
    <x v="3"/>
    <s v="Jaipur"/>
    <x v="1"/>
    <x v="3"/>
    <s v="Retailer"/>
    <n v="9"/>
    <n v="271.77999999999997"/>
    <n v="15"/>
    <n v="2079.12"/>
    <n v="2079.1169999999997"/>
  </r>
  <r>
    <s v="HUL10335"/>
    <x v="220"/>
    <x v="10"/>
    <x v="3"/>
    <s v="Noida"/>
    <x v="0"/>
    <x v="1"/>
    <s v="Online Customer"/>
    <n v="29"/>
    <n v="145.65"/>
    <n v="5"/>
    <n v="4012.66"/>
    <n v="4012.6575000000003"/>
  </r>
  <r>
    <s v="HUL10336"/>
    <x v="96"/>
    <x v="15"/>
    <x v="0"/>
    <s v="Mumbai"/>
    <x v="4"/>
    <x v="3"/>
    <s v="Wholesaler"/>
    <n v="7"/>
    <n v="201.64"/>
    <n v="15"/>
    <n v="1199.76"/>
    <n v="1199.758"/>
  </r>
  <r>
    <s v="HUL10337"/>
    <x v="3"/>
    <x v="5"/>
    <x v="1"/>
    <s v="Bengaluru"/>
    <x v="6"/>
    <x v="3"/>
    <s v="Retailer"/>
    <n v="10"/>
    <n v="146.46"/>
    <n v="5"/>
    <n v="1391.37"/>
    <n v="1391.3700000000001"/>
  </r>
  <r>
    <s v="HUL10338"/>
    <x v="221"/>
    <x v="10"/>
    <x v="3"/>
    <s v="Kanpur"/>
    <x v="0"/>
    <x v="2"/>
    <s v="Retailer"/>
    <n v="10"/>
    <n v="163.79"/>
    <n v="5"/>
    <n v="1556"/>
    <n v="1556.0049999999999"/>
  </r>
  <r>
    <s v="HUL10339"/>
    <x v="171"/>
    <x v="15"/>
    <x v="0"/>
    <s v="Kanpur"/>
    <x v="0"/>
    <x v="3"/>
    <s v="Online Customer"/>
    <n v="9"/>
    <n v="203.01"/>
    <n v="20"/>
    <n v="1461.67"/>
    <n v="1461.672"/>
  </r>
  <r>
    <s v="HUL10340"/>
    <x v="149"/>
    <x v="11"/>
    <x v="1"/>
    <s v="Ahmedabad"/>
    <x v="5"/>
    <x v="2"/>
    <s v="Online Customer"/>
    <n v="11"/>
    <n v="232.24"/>
    <n v="5"/>
    <n v="2426.91"/>
    <n v="2426.9080000000004"/>
  </r>
  <r>
    <s v="HUL10341"/>
    <x v="188"/>
    <x v="7"/>
    <x v="0"/>
    <s v="Hyderabad"/>
    <x v="8"/>
    <x v="3"/>
    <s v="Online Customer"/>
    <n v="15"/>
    <n v="177.82"/>
    <n v="0"/>
    <n v="2667.3"/>
    <n v="2667.2999999999997"/>
  </r>
  <r>
    <s v="HUL10342"/>
    <x v="53"/>
    <x v="13"/>
    <x v="0"/>
    <s v="Kanpur"/>
    <x v="0"/>
    <x v="2"/>
    <s v="Retailer"/>
    <n v="13"/>
    <n v="70.459999999999994"/>
    <n v="0"/>
    <n v="915.98"/>
    <n v="915.9799999999999"/>
  </r>
  <r>
    <s v="HUL10343"/>
    <x v="212"/>
    <x v="11"/>
    <x v="1"/>
    <s v="Pune"/>
    <x v="4"/>
    <x v="1"/>
    <s v="Retailer"/>
    <n v="13"/>
    <n v="260.11"/>
    <n v="5"/>
    <n v="3212.36"/>
    <n v="3212.3585000000003"/>
  </r>
  <r>
    <s v="HUL10344"/>
    <x v="222"/>
    <x v="9"/>
    <x v="2"/>
    <s v="Jaipur"/>
    <x v="1"/>
    <x v="2"/>
    <s v="Wholesaler"/>
    <n v="9"/>
    <n v="313.58"/>
    <n v="15"/>
    <n v="2398.89"/>
    <n v="2398.8869999999997"/>
  </r>
  <r>
    <s v="HUL10345"/>
    <x v="223"/>
    <x v="4"/>
    <x v="0"/>
    <s v="Mumbai"/>
    <x v="4"/>
    <x v="2"/>
    <s v="Online Customer"/>
    <n v="26"/>
    <n v="130.5"/>
    <n v="20"/>
    <n v="2714.4"/>
    <n v="2714.4"/>
  </r>
  <r>
    <s v="HUL10346"/>
    <x v="224"/>
    <x v="12"/>
    <x v="3"/>
    <s v="Delhi"/>
    <x v="3"/>
    <x v="0"/>
    <s v="Retailer"/>
    <n v="16"/>
    <n v="110.2"/>
    <n v="5"/>
    <n v="1675.04"/>
    <n v="1675.04"/>
  </r>
  <r>
    <s v="HUL10347"/>
    <x v="175"/>
    <x v="5"/>
    <x v="1"/>
    <s v="Noida"/>
    <x v="0"/>
    <x v="1"/>
    <s v="Retailer"/>
    <n v="23"/>
    <n v="151.27000000000001"/>
    <n v="20"/>
    <n v="2783.37"/>
    <n v="2783.3680000000004"/>
  </r>
  <r>
    <s v="HUL10348"/>
    <x v="225"/>
    <x v="2"/>
    <x v="0"/>
    <s v="Noida"/>
    <x v="0"/>
    <x v="1"/>
    <s v="Wholesaler"/>
    <n v="20"/>
    <n v="60.47"/>
    <n v="15"/>
    <n v="1027.99"/>
    <n v="1027.99"/>
  </r>
  <r>
    <s v="HUL10349"/>
    <x v="4"/>
    <x v="11"/>
    <x v="1"/>
    <s v="Jaipur"/>
    <x v="1"/>
    <x v="1"/>
    <s v="Wholesaler"/>
    <n v="27"/>
    <n v="216.45"/>
    <n v="0"/>
    <n v="5844.15"/>
    <n v="5844.15"/>
  </r>
  <r>
    <s v="HUL10350"/>
    <x v="110"/>
    <x v="15"/>
    <x v="0"/>
    <s v="Noida"/>
    <x v="0"/>
    <x v="0"/>
    <s v="Online Customer"/>
    <n v="11"/>
    <n v="226.93"/>
    <n v="0"/>
    <n v="2496.23"/>
    <n v="2496.23"/>
  </r>
  <r>
    <s v="HUL10351"/>
    <x v="120"/>
    <x v="15"/>
    <x v="0"/>
    <s v="Pune"/>
    <x v="4"/>
    <x v="1"/>
    <s v="Online Customer"/>
    <n v="3"/>
    <n v="213.64"/>
    <n v="20"/>
    <n v="512.74"/>
    <n v="512.73599999999999"/>
  </r>
  <r>
    <s v="HUL10352"/>
    <x v="108"/>
    <x v="1"/>
    <x v="0"/>
    <s v="Kolkata"/>
    <x v="7"/>
    <x v="2"/>
    <s v="Wholesaler"/>
    <n v="13"/>
    <n v="152.13"/>
    <n v="0"/>
    <n v="1977.69"/>
    <n v="1977.69"/>
  </r>
  <r>
    <s v="HUL10353"/>
    <x v="181"/>
    <x v="4"/>
    <x v="0"/>
    <s v="Noida"/>
    <x v="0"/>
    <x v="1"/>
    <s v="Online Customer"/>
    <n v="7"/>
    <n v="129.04"/>
    <n v="20"/>
    <n v="722.62"/>
    <n v="722.62400000000002"/>
  </r>
  <r>
    <s v="HUL10354"/>
    <x v="138"/>
    <x v="10"/>
    <x v="3"/>
    <s v="Kanpur"/>
    <x v="0"/>
    <x v="3"/>
    <s v="Wholesaler"/>
    <n v="25"/>
    <n v="141.52000000000001"/>
    <n v="5"/>
    <n v="3361.1"/>
    <n v="3361.1000000000004"/>
  </r>
  <r>
    <s v="HUL10355"/>
    <x v="40"/>
    <x v="13"/>
    <x v="0"/>
    <s v="Jaipur"/>
    <x v="1"/>
    <x v="2"/>
    <s v="Online Customer"/>
    <n v="22"/>
    <n v="67.94"/>
    <n v="15"/>
    <n v="1270.48"/>
    <n v="1270.4779999999998"/>
  </r>
  <r>
    <s v="HUL10356"/>
    <x v="226"/>
    <x v="7"/>
    <x v="0"/>
    <s v="Kanpur"/>
    <x v="0"/>
    <x v="0"/>
    <s v="Online Customer"/>
    <n v="8"/>
    <n v="179.32"/>
    <n v="10"/>
    <n v="1291.0999999999999"/>
    <n v="1291.104"/>
  </r>
  <r>
    <s v="HUL10357"/>
    <x v="121"/>
    <x v="15"/>
    <x v="0"/>
    <s v="Kolkata"/>
    <x v="7"/>
    <x v="1"/>
    <s v="Wholesaler"/>
    <n v="25"/>
    <n v="227.76"/>
    <n v="5"/>
    <n v="5409.3"/>
    <n v="5409.3"/>
  </r>
  <r>
    <s v="HUL10358"/>
    <x v="55"/>
    <x v="3"/>
    <x v="0"/>
    <s v="Ahmedabad"/>
    <x v="5"/>
    <x v="1"/>
    <s v="Retailer"/>
    <n v="15"/>
    <n v="195.26"/>
    <n v="20"/>
    <n v="2343.12"/>
    <n v="2343.12"/>
  </r>
  <r>
    <s v="HUL10359"/>
    <x v="82"/>
    <x v="6"/>
    <x v="2"/>
    <s v="Kolkata"/>
    <x v="7"/>
    <x v="2"/>
    <s v="Retailer"/>
    <n v="5"/>
    <n v="291"/>
    <n v="20"/>
    <n v="1164"/>
    <n v="1164"/>
  </r>
  <r>
    <s v="HUL10360"/>
    <x v="26"/>
    <x v="6"/>
    <x v="2"/>
    <s v="Pune"/>
    <x v="4"/>
    <x v="0"/>
    <s v="Online Customer"/>
    <n v="2"/>
    <n v="266.14"/>
    <n v="15"/>
    <n v="452.44"/>
    <n v="452.43799999999999"/>
  </r>
  <r>
    <s v="HUL10361"/>
    <x v="191"/>
    <x v="4"/>
    <x v="0"/>
    <s v="Ahmedabad"/>
    <x v="5"/>
    <x v="1"/>
    <s v="Online Customer"/>
    <n v="12"/>
    <n v="125.61"/>
    <n v="20"/>
    <n v="1205.8599999999999"/>
    <n v="1205.856"/>
  </r>
  <r>
    <s v="HUL10362"/>
    <x v="32"/>
    <x v="8"/>
    <x v="3"/>
    <s v="Mumbai"/>
    <x v="4"/>
    <x v="3"/>
    <s v="Online Customer"/>
    <n v="28"/>
    <n v="290.41000000000003"/>
    <n v="15"/>
    <n v="6911.76"/>
    <n v="6911.7579999999998"/>
  </r>
  <r>
    <s v="HUL10363"/>
    <x v="227"/>
    <x v="0"/>
    <x v="0"/>
    <s v="Hyderabad"/>
    <x v="8"/>
    <x v="2"/>
    <s v="Retailer"/>
    <n v="26"/>
    <n v="55.72"/>
    <n v="5"/>
    <n v="1376.28"/>
    <n v="1376.2839999999999"/>
  </r>
  <r>
    <s v="HUL10364"/>
    <x v="228"/>
    <x v="14"/>
    <x v="3"/>
    <s v="Chennai"/>
    <x v="2"/>
    <x v="0"/>
    <s v="Wholesaler"/>
    <n v="23"/>
    <n v="105.01"/>
    <n v="0"/>
    <n v="2415.23"/>
    <n v="2415.23"/>
  </r>
  <r>
    <s v="HUL10365"/>
    <x v="56"/>
    <x v="14"/>
    <x v="3"/>
    <s v="Jaipur"/>
    <x v="1"/>
    <x v="1"/>
    <s v="Wholesaler"/>
    <n v="4"/>
    <n v="108.45"/>
    <n v="10"/>
    <n v="390.42"/>
    <n v="390.42"/>
  </r>
  <r>
    <s v="HUL10366"/>
    <x v="229"/>
    <x v="9"/>
    <x v="2"/>
    <s v="Jaipur"/>
    <x v="1"/>
    <x v="3"/>
    <s v="Retailer"/>
    <n v="22"/>
    <n v="307.41000000000003"/>
    <n v="20"/>
    <n v="5410.42"/>
    <n v="5410.4160000000011"/>
  </r>
  <r>
    <s v="HUL10367"/>
    <x v="217"/>
    <x v="13"/>
    <x v="0"/>
    <s v="Kolkata"/>
    <x v="7"/>
    <x v="3"/>
    <s v="Wholesaler"/>
    <n v="8"/>
    <n v="81.06"/>
    <n v="10"/>
    <n v="583.63"/>
    <n v="583.63200000000006"/>
  </r>
  <r>
    <s v="HUL10368"/>
    <x v="4"/>
    <x v="2"/>
    <x v="0"/>
    <s v="Hyderabad"/>
    <x v="8"/>
    <x v="3"/>
    <s v="Wholesaler"/>
    <n v="10"/>
    <n v="60.57"/>
    <n v="15"/>
    <n v="514.84"/>
    <n v="514.84500000000003"/>
  </r>
  <r>
    <s v="HUL10369"/>
    <x v="230"/>
    <x v="3"/>
    <x v="0"/>
    <s v="Hyderabad"/>
    <x v="8"/>
    <x v="1"/>
    <s v="Retailer"/>
    <n v="5"/>
    <n v="189.56"/>
    <n v="15"/>
    <n v="805.63"/>
    <n v="805.63"/>
  </r>
  <r>
    <s v="HUL10370"/>
    <x v="160"/>
    <x v="6"/>
    <x v="2"/>
    <s v="Mumbai"/>
    <x v="4"/>
    <x v="3"/>
    <s v="Online Customer"/>
    <n v="4"/>
    <n v="276.99"/>
    <n v="5"/>
    <n v="1052.56"/>
    <n v="1052.5619999999999"/>
  </r>
  <r>
    <s v="HUL10371"/>
    <x v="5"/>
    <x v="11"/>
    <x v="1"/>
    <s v="Mumbai"/>
    <x v="4"/>
    <x v="1"/>
    <s v="Wholesaler"/>
    <n v="26"/>
    <n v="253.28"/>
    <n v="15"/>
    <n v="5597.49"/>
    <n v="5597.4879999999994"/>
  </r>
  <r>
    <s v="HUL10372"/>
    <x v="195"/>
    <x v="9"/>
    <x v="2"/>
    <s v="Kanpur"/>
    <x v="0"/>
    <x v="3"/>
    <s v="Online Customer"/>
    <n v="21"/>
    <n v="317.42"/>
    <n v="10"/>
    <n v="5999.24"/>
    <n v="5999.2380000000003"/>
  </r>
  <r>
    <s v="HUL10373"/>
    <x v="24"/>
    <x v="10"/>
    <x v="3"/>
    <s v="Delhi"/>
    <x v="3"/>
    <x v="0"/>
    <s v="Online Customer"/>
    <n v="8"/>
    <n v="137.59"/>
    <n v="5"/>
    <n v="1045.68"/>
    <n v="1045.684"/>
  </r>
  <r>
    <s v="HUL10374"/>
    <x v="194"/>
    <x v="2"/>
    <x v="0"/>
    <s v="Chennai"/>
    <x v="2"/>
    <x v="3"/>
    <s v="Online Customer"/>
    <n v="17"/>
    <n v="70.680000000000007"/>
    <n v="5"/>
    <n v="1141.48"/>
    <n v="1141.4820000000002"/>
  </r>
  <r>
    <s v="HUL10375"/>
    <x v="84"/>
    <x v="3"/>
    <x v="0"/>
    <s v="Bengaluru"/>
    <x v="6"/>
    <x v="3"/>
    <s v="Wholesaler"/>
    <n v="26"/>
    <n v="209.77"/>
    <n v="20"/>
    <n v="4363.22"/>
    <n v="4363.2160000000003"/>
  </r>
  <r>
    <s v="HUL10376"/>
    <x v="231"/>
    <x v="15"/>
    <x v="0"/>
    <s v="Noida"/>
    <x v="0"/>
    <x v="1"/>
    <s v="Wholesaler"/>
    <n v="6"/>
    <n v="222.87"/>
    <n v="10"/>
    <n v="1203.5"/>
    <n v="1203.498"/>
  </r>
  <r>
    <s v="HUL10377"/>
    <x v="232"/>
    <x v="15"/>
    <x v="0"/>
    <s v="Ahmedabad"/>
    <x v="5"/>
    <x v="0"/>
    <s v="Retailer"/>
    <n v="10"/>
    <n v="198.97"/>
    <n v="20"/>
    <n v="1591.76"/>
    <n v="1591.7600000000002"/>
  </r>
  <r>
    <s v="HUL10378"/>
    <x v="180"/>
    <x v="5"/>
    <x v="1"/>
    <s v="Kolkata"/>
    <x v="7"/>
    <x v="0"/>
    <s v="Online Customer"/>
    <n v="23"/>
    <n v="151.84"/>
    <n v="0"/>
    <n v="3492.32"/>
    <n v="3492.32"/>
  </r>
  <r>
    <s v="HUL10379"/>
    <x v="146"/>
    <x v="9"/>
    <x v="2"/>
    <s v="Delhi"/>
    <x v="3"/>
    <x v="3"/>
    <s v="Wholesaler"/>
    <n v="12"/>
    <n v="283.2"/>
    <n v="0"/>
    <n v="3398.4"/>
    <n v="3398.3999999999996"/>
  </r>
  <r>
    <s v="HUL10380"/>
    <x v="204"/>
    <x v="12"/>
    <x v="3"/>
    <s v="Mumbai"/>
    <x v="4"/>
    <x v="2"/>
    <s v="Wholesaler"/>
    <n v="3"/>
    <n v="119.63"/>
    <n v="20"/>
    <n v="287.11"/>
    <n v="287.11200000000002"/>
  </r>
  <r>
    <s v="HUL10381"/>
    <x v="116"/>
    <x v="12"/>
    <x v="3"/>
    <s v="Mumbai"/>
    <x v="4"/>
    <x v="3"/>
    <s v="Retailer"/>
    <n v="3"/>
    <n v="110.34"/>
    <n v="10"/>
    <n v="297.92"/>
    <n v="297.91800000000001"/>
  </r>
  <r>
    <s v="HUL10382"/>
    <x v="199"/>
    <x v="0"/>
    <x v="0"/>
    <s v="Mumbai"/>
    <x v="4"/>
    <x v="3"/>
    <s v="Online Customer"/>
    <n v="9"/>
    <n v="50.73"/>
    <n v="10"/>
    <n v="410.91"/>
    <n v="410.91300000000001"/>
  </r>
  <r>
    <s v="HUL10383"/>
    <x v="233"/>
    <x v="14"/>
    <x v="3"/>
    <s v="Noida"/>
    <x v="0"/>
    <x v="1"/>
    <s v="Retailer"/>
    <n v="8"/>
    <n v="118.19"/>
    <n v="5"/>
    <n v="898.24"/>
    <n v="898.24399999999991"/>
  </r>
  <r>
    <s v="HUL10384"/>
    <x v="94"/>
    <x v="6"/>
    <x v="2"/>
    <s v="Kanpur"/>
    <x v="0"/>
    <x v="2"/>
    <s v="Online Customer"/>
    <n v="25"/>
    <n v="268.32"/>
    <n v="15"/>
    <n v="5701.8"/>
    <n v="5701.8"/>
  </r>
  <r>
    <s v="HUL10385"/>
    <x v="183"/>
    <x v="6"/>
    <x v="2"/>
    <s v="Chennai"/>
    <x v="2"/>
    <x v="0"/>
    <s v="Retailer"/>
    <n v="9"/>
    <n v="318.13"/>
    <n v="5"/>
    <n v="2720.01"/>
    <n v="2720.0115000000001"/>
  </r>
  <r>
    <s v="HUL10386"/>
    <x v="234"/>
    <x v="7"/>
    <x v="0"/>
    <s v="Bengaluru"/>
    <x v="6"/>
    <x v="2"/>
    <s v="Online Customer"/>
    <n v="9"/>
    <n v="172.17"/>
    <n v="5"/>
    <n v="1472.05"/>
    <n v="1472.0535"/>
  </r>
  <r>
    <s v="HUL10387"/>
    <x v="87"/>
    <x v="13"/>
    <x v="0"/>
    <s v="Pune"/>
    <x v="4"/>
    <x v="3"/>
    <s v="Online Customer"/>
    <n v="26"/>
    <n v="73.459999999999994"/>
    <n v="10"/>
    <n v="1718.96"/>
    <n v="1718.9639999999999"/>
  </r>
  <r>
    <s v="HUL10388"/>
    <x v="235"/>
    <x v="14"/>
    <x v="3"/>
    <s v="Chennai"/>
    <x v="2"/>
    <x v="3"/>
    <s v="Wholesaler"/>
    <n v="9"/>
    <n v="105.32"/>
    <n v="15"/>
    <n v="805.7"/>
    <n v="805.69799999999987"/>
  </r>
  <r>
    <s v="HUL10389"/>
    <x v="216"/>
    <x v="10"/>
    <x v="3"/>
    <s v="Jaipur"/>
    <x v="1"/>
    <x v="0"/>
    <s v="Online Customer"/>
    <n v="10"/>
    <n v="146.88"/>
    <n v="5"/>
    <n v="1395.36"/>
    <n v="1395.36"/>
  </r>
  <r>
    <s v="HUL10390"/>
    <x v="155"/>
    <x v="3"/>
    <x v="0"/>
    <s v="Kanpur"/>
    <x v="0"/>
    <x v="2"/>
    <s v="Wholesaler"/>
    <n v="8"/>
    <n v="214.77"/>
    <n v="20"/>
    <n v="1374.53"/>
    <n v="1374.5280000000002"/>
  </r>
  <r>
    <s v="HUL10391"/>
    <x v="36"/>
    <x v="4"/>
    <x v="0"/>
    <s v="Delhi"/>
    <x v="3"/>
    <x v="1"/>
    <s v="Wholesaler"/>
    <n v="2"/>
    <n v="122.35"/>
    <n v="20"/>
    <n v="195.76"/>
    <n v="195.76"/>
  </r>
  <r>
    <s v="HUL10392"/>
    <x v="236"/>
    <x v="4"/>
    <x v="0"/>
    <s v="Jaipur"/>
    <x v="1"/>
    <x v="3"/>
    <s v="Wholesaler"/>
    <n v="7"/>
    <n v="131.22999999999999"/>
    <n v="10"/>
    <n v="826.75"/>
    <n v="826.74899999999991"/>
  </r>
  <r>
    <s v="HUL10393"/>
    <x v="195"/>
    <x v="7"/>
    <x v="0"/>
    <s v="Ahmedabad"/>
    <x v="5"/>
    <x v="1"/>
    <s v="Wholesaler"/>
    <n v="24"/>
    <n v="196.82"/>
    <n v="20"/>
    <n v="3778.94"/>
    <n v="3778.9440000000004"/>
  </r>
  <r>
    <s v="HUL10394"/>
    <x v="237"/>
    <x v="6"/>
    <x v="2"/>
    <s v="Delhi"/>
    <x v="3"/>
    <x v="3"/>
    <s v="Wholesaler"/>
    <n v="27"/>
    <n v="285.79000000000002"/>
    <n v="10"/>
    <n v="6944.7"/>
    <n v="6944.697000000001"/>
  </r>
  <r>
    <s v="HUL10395"/>
    <x v="234"/>
    <x v="7"/>
    <x v="0"/>
    <s v="Noida"/>
    <x v="0"/>
    <x v="0"/>
    <s v="Retailer"/>
    <n v="21"/>
    <n v="194.05"/>
    <n v="20"/>
    <n v="3260.04"/>
    <n v="3260.0400000000004"/>
  </r>
  <r>
    <s v="HUL10396"/>
    <x v="238"/>
    <x v="9"/>
    <x v="2"/>
    <s v="Ahmedabad"/>
    <x v="5"/>
    <x v="0"/>
    <s v="Retailer"/>
    <n v="21"/>
    <n v="335.93"/>
    <n v="10"/>
    <n v="6349.08"/>
    <n v="6349.0770000000002"/>
  </r>
  <r>
    <s v="HUL10397"/>
    <x v="114"/>
    <x v="3"/>
    <x v="0"/>
    <s v="Hyderabad"/>
    <x v="8"/>
    <x v="1"/>
    <s v="Wholesaler"/>
    <n v="16"/>
    <n v="216.37"/>
    <n v="0"/>
    <n v="3461.92"/>
    <n v="3461.92"/>
  </r>
  <r>
    <s v="HUL10398"/>
    <x v="239"/>
    <x v="2"/>
    <x v="0"/>
    <s v="Delhi"/>
    <x v="3"/>
    <x v="2"/>
    <s v="Online Customer"/>
    <n v="13"/>
    <n v="62.86"/>
    <n v="5"/>
    <n v="776.32"/>
    <n v="776.32099999999991"/>
  </r>
  <r>
    <s v="HUL10399"/>
    <x v="141"/>
    <x v="3"/>
    <x v="0"/>
    <s v="Bengaluru"/>
    <x v="6"/>
    <x v="2"/>
    <s v="Wholesaler"/>
    <n v="2"/>
    <n v="199.07"/>
    <n v="15"/>
    <n v="338.42"/>
    <n v="338.41899999999998"/>
  </r>
  <r>
    <s v="HUL10400"/>
    <x v="237"/>
    <x v="7"/>
    <x v="0"/>
    <s v="Noida"/>
    <x v="0"/>
    <x v="1"/>
    <s v="Wholesaler"/>
    <n v="27"/>
    <n v="184.1"/>
    <n v="0"/>
    <n v="4970.7"/>
    <n v="4970.7"/>
  </r>
  <r>
    <s v="HUL10401"/>
    <x v="54"/>
    <x v="3"/>
    <x v="0"/>
    <s v="Chennai"/>
    <x v="2"/>
    <x v="2"/>
    <s v="Online Customer"/>
    <n v="28"/>
    <n v="215.63"/>
    <n v="15"/>
    <n v="5131.99"/>
    <n v="5131.9939999999997"/>
  </r>
  <r>
    <s v="HUL10402"/>
    <x v="30"/>
    <x v="12"/>
    <x v="3"/>
    <s v="Delhi"/>
    <x v="3"/>
    <x v="1"/>
    <s v="Online Customer"/>
    <n v="8"/>
    <n v="112.01"/>
    <n v="15"/>
    <n v="761.67"/>
    <n v="761.66800000000001"/>
  </r>
  <r>
    <s v="HUL10403"/>
    <x v="240"/>
    <x v="8"/>
    <x v="3"/>
    <s v="Bengaluru"/>
    <x v="6"/>
    <x v="1"/>
    <s v="Online Customer"/>
    <n v="4"/>
    <n v="290.87"/>
    <n v="0"/>
    <n v="1163.48"/>
    <n v="1163.48"/>
  </r>
  <r>
    <s v="HUL10404"/>
    <x v="241"/>
    <x v="13"/>
    <x v="0"/>
    <s v="Jaipur"/>
    <x v="1"/>
    <x v="1"/>
    <s v="Retailer"/>
    <n v="22"/>
    <n v="73.62"/>
    <n v="15"/>
    <n v="1376.69"/>
    <n v="1376.694"/>
  </r>
  <r>
    <s v="HUL10405"/>
    <x v="17"/>
    <x v="10"/>
    <x v="3"/>
    <s v="Ahmedabad"/>
    <x v="5"/>
    <x v="0"/>
    <s v="Online Customer"/>
    <n v="10"/>
    <n v="158.65"/>
    <n v="20"/>
    <n v="1269.2"/>
    <n v="1269.2"/>
  </r>
  <r>
    <s v="HUL10406"/>
    <x v="242"/>
    <x v="12"/>
    <x v="3"/>
    <s v="Noida"/>
    <x v="0"/>
    <x v="0"/>
    <s v="Wholesaler"/>
    <n v="28"/>
    <n v="108"/>
    <n v="10"/>
    <n v="2721.6"/>
    <n v="2721.6"/>
  </r>
  <r>
    <s v="HUL10407"/>
    <x v="243"/>
    <x v="12"/>
    <x v="3"/>
    <s v="Bengaluru"/>
    <x v="6"/>
    <x v="2"/>
    <s v="Wholesaler"/>
    <n v="15"/>
    <n v="128.75"/>
    <n v="10"/>
    <n v="1738.12"/>
    <n v="1738.125"/>
  </r>
  <r>
    <s v="HUL10408"/>
    <x v="145"/>
    <x v="6"/>
    <x v="2"/>
    <s v="Chennai"/>
    <x v="2"/>
    <x v="3"/>
    <s v="Retailer"/>
    <n v="26"/>
    <n v="285.44"/>
    <n v="5"/>
    <n v="7050.37"/>
    <n v="7050.3679999999995"/>
  </r>
  <r>
    <s v="HUL10409"/>
    <x v="244"/>
    <x v="0"/>
    <x v="0"/>
    <s v="Mumbai"/>
    <x v="4"/>
    <x v="3"/>
    <s v="Retailer"/>
    <n v="20"/>
    <n v="60.2"/>
    <n v="10"/>
    <n v="1083.5999999999999"/>
    <n v="1083.6000000000001"/>
  </r>
  <r>
    <s v="HUL10410"/>
    <x v="85"/>
    <x v="7"/>
    <x v="0"/>
    <s v="Ahmedabad"/>
    <x v="5"/>
    <x v="3"/>
    <s v="Retailer"/>
    <n v="8"/>
    <n v="184.37"/>
    <n v="0"/>
    <n v="1474.96"/>
    <n v="1474.96"/>
  </r>
  <r>
    <s v="HUL10411"/>
    <x v="77"/>
    <x v="3"/>
    <x v="0"/>
    <s v="Pune"/>
    <x v="4"/>
    <x v="0"/>
    <s v="Online Customer"/>
    <n v="16"/>
    <n v="207.89"/>
    <n v="20"/>
    <n v="2660.99"/>
    <n v="2660.9920000000002"/>
  </r>
  <r>
    <s v="HUL10412"/>
    <x v="115"/>
    <x v="10"/>
    <x v="3"/>
    <s v="Bengaluru"/>
    <x v="6"/>
    <x v="0"/>
    <s v="Wholesaler"/>
    <n v="10"/>
    <n v="135.37"/>
    <n v="15"/>
    <n v="1150.6400000000001"/>
    <n v="1150.645"/>
  </r>
  <r>
    <s v="HUL10413"/>
    <x v="232"/>
    <x v="6"/>
    <x v="2"/>
    <s v="Chennai"/>
    <x v="2"/>
    <x v="0"/>
    <s v="Online Customer"/>
    <n v="10"/>
    <n v="278.39999999999998"/>
    <n v="0"/>
    <n v="2784"/>
    <n v="2784"/>
  </r>
  <r>
    <s v="HUL10414"/>
    <x v="245"/>
    <x v="4"/>
    <x v="0"/>
    <s v="Kanpur"/>
    <x v="0"/>
    <x v="3"/>
    <s v="Wholesaler"/>
    <n v="10"/>
    <n v="115.93"/>
    <n v="0"/>
    <n v="1159.3"/>
    <n v="1159.3000000000002"/>
  </r>
  <r>
    <s v="HUL10415"/>
    <x v="62"/>
    <x v="5"/>
    <x v="1"/>
    <s v="Pune"/>
    <x v="4"/>
    <x v="3"/>
    <s v="Retailer"/>
    <n v="18"/>
    <n v="143.56"/>
    <n v="15"/>
    <n v="2196.4699999999998"/>
    <n v="2196.4679999999998"/>
  </r>
  <r>
    <s v="HUL10416"/>
    <x v="246"/>
    <x v="4"/>
    <x v="0"/>
    <s v="Delhi"/>
    <x v="3"/>
    <x v="0"/>
    <s v="Online Customer"/>
    <n v="22"/>
    <n v="109.53"/>
    <n v="15"/>
    <n v="2048.21"/>
    <n v="2048.2109999999998"/>
  </r>
  <r>
    <s v="HUL10417"/>
    <x v="153"/>
    <x v="14"/>
    <x v="3"/>
    <s v="Ahmedabad"/>
    <x v="5"/>
    <x v="0"/>
    <s v="Retailer"/>
    <n v="30"/>
    <n v="110.56"/>
    <n v="0"/>
    <n v="3316.8"/>
    <n v="3316.8"/>
  </r>
  <r>
    <s v="HUL10418"/>
    <x v="55"/>
    <x v="14"/>
    <x v="3"/>
    <s v="Lucknow"/>
    <x v="0"/>
    <x v="2"/>
    <s v="Retailer"/>
    <n v="9"/>
    <n v="110.38"/>
    <n v="15"/>
    <n v="844.41"/>
    <n v="844.40699999999993"/>
  </r>
  <r>
    <s v="HUL10419"/>
    <x v="247"/>
    <x v="6"/>
    <x v="2"/>
    <s v="Hyderabad"/>
    <x v="8"/>
    <x v="1"/>
    <s v="Wholesaler"/>
    <n v="21"/>
    <n v="286.72000000000003"/>
    <n v="20"/>
    <n v="4816.8999999999996"/>
    <n v="4816.8960000000006"/>
  </r>
  <r>
    <s v="HUL10420"/>
    <x v="97"/>
    <x v="13"/>
    <x v="0"/>
    <s v="Kanpur"/>
    <x v="0"/>
    <x v="0"/>
    <s v="Retailer"/>
    <n v="20"/>
    <n v="71.06"/>
    <n v="15"/>
    <n v="1208.02"/>
    <n v="1208.02"/>
  </r>
  <r>
    <s v="HUL10421"/>
    <x v="248"/>
    <x v="10"/>
    <x v="3"/>
    <s v="Mumbai"/>
    <x v="4"/>
    <x v="3"/>
    <s v="Retailer"/>
    <n v="4"/>
    <n v="154.57"/>
    <n v="5"/>
    <n v="587.37"/>
    <n v="587.36599999999999"/>
  </r>
  <r>
    <s v="HUL10422"/>
    <x v="150"/>
    <x v="4"/>
    <x v="0"/>
    <s v="Pune"/>
    <x v="4"/>
    <x v="0"/>
    <s v="Retailer"/>
    <n v="9"/>
    <n v="123.22"/>
    <n v="0"/>
    <n v="1108.98"/>
    <n v="1108.98"/>
  </r>
  <r>
    <s v="HUL10423"/>
    <x v="142"/>
    <x v="8"/>
    <x v="3"/>
    <s v="Ahmedabad"/>
    <x v="5"/>
    <x v="2"/>
    <s v="Wholesaler"/>
    <n v="28"/>
    <n v="259.83999999999997"/>
    <n v="15"/>
    <n v="6184.19"/>
    <n v="6184.1919999999991"/>
  </r>
  <r>
    <s v="HUL10424"/>
    <x v="249"/>
    <x v="8"/>
    <x v="3"/>
    <s v="Hyderabad"/>
    <x v="8"/>
    <x v="0"/>
    <s v="Retailer"/>
    <n v="18"/>
    <n v="286.86"/>
    <n v="10"/>
    <n v="4647.13"/>
    <n v="4647.1320000000005"/>
  </r>
  <r>
    <s v="HUL10425"/>
    <x v="10"/>
    <x v="10"/>
    <x v="3"/>
    <s v="Bengaluru"/>
    <x v="6"/>
    <x v="0"/>
    <s v="Retailer"/>
    <n v="30"/>
    <n v="135.16999999999999"/>
    <n v="0"/>
    <n v="4055.1"/>
    <n v="4055.0999999999995"/>
  </r>
  <r>
    <s v="HUL10426"/>
    <x v="2"/>
    <x v="2"/>
    <x v="0"/>
    <s v="Chennai"/>
    <x v="2"/>
    <x v="3"/>
    <s v="Retailer"/>
    <n v="27"/>
    <n v="64.52"/>
    <n v="20"/>
    <n v="1393.63"/>
    <n v="1393.6320000000001"/>
  </r>
  <r>
    <s v="HUL10427"/>
    <x v="131"/>
    <x v="6"/>
    <x v="2"/>
    <s v="Kolkata"/>
    <x v="7"/>
    <x v="1"/>
    <s v="Wholesaler"/>
    <n v="10"/>
    <n v="284.02999999999997"/>
    <n v="20"/>
    <n v="2272.2399999999998"/>
    <n v="2272.2399999999998"/>
  </r>
  <r>
    <s v="HUL10428"/>
    <x v="100"/>
    <x v="7"/>
    <x v="0"/>
    <s v="Lucknow"/>
    <x v="0"/>
    <x v="3"/>
    <s v="Retailer"/>
    <n v="20"/>
    <n v="193.68"/>
    <n v="0"/>
    <n v="3873.6"/>
    <n v="3873.6000000000004"/>
  </r>
  <r>
    <s v="HUL10429"/>
    <x v="185"/>
    <x v="9"/>
    <x v="2"/>
    <s v="Chennai"/>
    <x v="2"/>
    <x v="2"/>
    <s v="Online Customer"/>
    <n v="12"/>
    <n v="287.14999999999998"/>
    <n v="20"/>
    <n v="2756.64"/>
    <n v="2756.64"/>
  </r>
  <r>
    <s v="HUL10430"/>
    <x v="250"/>
    <x v="2"/>
    <x v="0"/>
    <s v="Ahmedabad"/>
    <x v="5"/>
    <x v="1"/>
    <s v="Retailer"/>
    <n v="22"/>
    <n v="61.86"/>
    <n v="20"/>
    <n v="1088.74"/>
    <n v="1088.7360000000001"/>
  </r>
  <r>
    <s v="HUL10431"/>
    <x v="251"/>
    <x v="8"/>
    <x v="3"/>
    <s v="Kolkata"/>
    <x v="7"/>
    <x v="1"/>
    <s v="Wholesaler"/>
    <n v="6"/>
    <n v="252.09"/>
    <n v="10"/>
    <n v="1361.29"/>
    <n v="1361.2860000000001"/>
  </r>
  <r>
    <s v="HUL10432"/>
    <x v="153"/>
    <x v="0"/>
    <x v="0"/>
    <s v="Pune"/>
    <x v="4"/>
    <x v="0"/>
    <s v="Online Customer"/>
    <n v="21"/>
    <n v="57.05"/>
    <n v="5"/>
    <n v="1138.1500000000001"/>
    <n v="1138.1474999999998"/>
  </r>
  <r>
    <s v="HUL10433"/>
    <x v="169"/>
    <x v="6"/>
    <x v="2"/>
    <s v="Lucknow"/>
    <x v="0"/>
    <x v="1"/>
    <s v="Wholesaler"/>
    <n v="6"/>
    <n v="268.02"/>
    <n v="15"/>
    <n v="1366.9"/>
    <n v="1366.9019999999998"/>
  </r>
  <r>
    <s v="HUL10434"/>
    <x v="136"/>
    <x v="8"/>
    <x v="3"/>
    <s v="Lucknow"/>
    <x v="0"/>
    <x v="3"/>
    <s v="Wholesaler"/>
    <n v="20"/>
    <n v="271.87"/>
    <n v="5"/>
    <n v="5165.53"/>
    <n v="5165.53"/>
  </r>
  <r>
    <s v="HUL10435"/>
    <x v="37"/>
    <x v="7"/>
    <x v="0"/>
    <s v="Kolkata"/>
    <x v="7"/>
    <x v="2"/>
    <s v="Online Customer"/>
    <n v="12"/>
    <n v="183.55"/>
    <n v="5"/>
    <n v="2092.4699999999998"/>
    <n v="2092.4700000000003"/>
  </r>
  <r>
    <s v="HUL10436"/>
    <x v="52"/>
    <x v="13"/>
    <x v="0"/>
    <s v="Hyderabad"/>
    <x v="8"/>
    <x v="0"/>
    <s v="Online Customer"/>
    <n v="29"/>
    <n v="70.08"/>
    <n v="10"/>
    <n v="1829.09"/>
    <n v="1829.088"/>
  </r>
  <r>
    <s v="HUL10437"/>
    <x v="65"/>
    <x v="12"/>
    <x v="3"/>
    <s v="Mumbai"/>
    <x v="4"/>
    <x v="1"/>
    <s v="Wholesaler"/>
    <n v="9"/>
    <n v="127.68"/>
    <n v="0"/>
    <n v="1149.1199999999999"/>
    <n v="1149.1200000000001"/>
  </r>
  <r>
    <s v="HUL10438"/>
    <x v="114"/>
    <x v="14"/>
    <x v="3"/>
    <s v="Chennai"/>
    <x v="2"/>
    <x v="0"/>
    <s v="Online Customer"/>
    <n v="14"/>
    <n v="107.79"/>
    <n v="20"/>
    <n v="1207.25"/>
    <n v="1207.2480000000003"/>
  </r>
  <r>
    <s v="HUL10439"/>
    <x v="99"/>
    <x v="6"/>
    <x v="2"/>
    <s v="Lucknow"/>
    <x v="0"/>
    <x v="1"/>
    <s v="Online Customer"/>
    <n v="26"/>
    <n v="303.29000000000002"/>
    <n v="0"/>
    <n v="7885.54"/>
    <n v="7885.5400000000009"/>
  </r>
  <r>
    <s v="HUL10440"/>
    <x v="143"/>
    <x v="3"/>
    <x v="0"/>
    <s v="Jaipur"/>
    <x v="1"/>
    <x v="2"/>
    <s v="Online Customer"/>
    <n v="19"/>
    <n v="205.96"/>
    <n v="20"/>
    <n v="3130.59"/>
    <n v="3130.5920000000006"/>
  </r>
  <r>
    <s v="HUL10441"/>
    <x v="252"/>
    <x v="15"/>
    <x v="0"/>
    <s v="Mumbai"/>
    <x v="4"/>
    <x v="2"/>
    <s v="Wholesaler"/>
    <n v="29"/>
    <n v="207.96"/>
    <n v="10"/>
    <n v="5427.76"/>
    <n v="5427.7560000000003"/>
  </r>
  <r>
    <s v="HUL10442"/>
    <x v="45"/>
    <x v="3"/>
    <x v="0"/>
    <s v="Ahmedabad"/>
    <x v="5"/>
    <x v="1"/>
    <s v="Retailer"/>
    <n v="24"/>
    <n v="202.39"/>
    <n v="5"/>
    <n v="4614.49"/>
    <n v="4614.4919999999993"/>
  </r>
  <r>
    <s v="HUL10443"/>
    <x v="98"/>
    <x v="13"/>
    <x v="0"/>
    <s v="Kanpur"/>
    <x v="0"/>
    <x v="3"/>
    <s v="Retailer"/>
    <n v="25"/>
    <n v="73.12"/>
    <n v="15"/>
    <n v="1553.8"/>
    <n v="1553.8"/>
  </r>
  <r>
    <s v="HUL10444"/>
    <x v="167"/>
    <x v="10"/>
    <x v="3"/>
    <s v="Jaipur"/>
    <x v="1"/>
    <x v="3"/>
    <s v="Retailer"/>
    <n v="2"/>
    <n v="163.4"/>
    <n v="10"/>
    <n v="294.12"/>
    <n v="294.12"/>
  </r>
  <r>
    <s v="HUL10445"/>
    <x v="27"/>
    <x v="1"/>
    <x v="0"/>
    <s v="Ahmedabad"/>
    <x v="5"/>
    <x v="2"/>
    <s v="Online Customer"/>
    <n v="12"/>
    <n v="141.69"/>
    <n v="10"/>
    <n v="1530.25"/>
    <n v="1530.252"/>
  </r>
  <r>
    <s v="HUL10446"/>
    <x v="165"/>
    <x v="4"/>
    <x v="0"/>
    <s v="Lucknow"/>
    <x v="0"/>
    <x v="0"/>
    <s v="Wholesaler"/>
    <n v="6"/>
    <n v="120.75"/>
    <n v="15"/>
    <n v="615.82000000000005"/>
    <n v="615.82499999999993"/>
  </r>
  <r>
    <s v="HUL10447"/>
    <x v="205"/>
    <x v="13"/>
    <x v="0"/>
    <s v="Lucknow"/>
    <x v="0"/>
    <x v="1"/>
    <s v="Retailer"/>
    <n v="14"/>
    <n v="82.08"/>
    <n v="10"/>
    <n v="1034.21"/>
    <n v="1034.2079999999999"/>
  </r>
  <r>
    <s v="HUL10448"/>
    <x v="137"/>
    <x v="4"/>
    <x v="0"/>
    <s v="Kanpur"/>
    <x v="0"/>
    <x v="2"/>
    <s v="Online Customer"/>
    <n v="15"/>
    <n v="108.74"/>
    <n v="10"/>
    <n v="1467.99"/>
    <n v="1467.99"/>
  </r>
  <r>
    <s v="HUL10449"/>
    <x v="53"/>
    <x v="14"/>
    <x v="3"/>
    <s v="Delhi"/>
    <x v="3"/>
    <x v="2"/>
    <s v="Online Customer"/>
    <n v="30"/>
    <n v="109.09"/>
    <n v="5"/>
    <n v="3109.06"/>
    <n v="3109.0650000000001"/>
  </r>
  <r>
    <s v="HUL10450"/>
    <x v="253"/>
    <x v="9"/>
    <x v="2"/>
    <s v="Jaipur"/>
    <x v="1"/>
    <x v="2"/>
    <s v="Retailer"/>
    <n v="4"/>
    <n v="334.08"/>
    <n v="15"/>
    <n v="1135.8699999999999"/>
    <n v="1135.8719999999998"/>
  </r>
  <r>
    <s v="HUL10451"/>
    <x v="254"/>
    <x v="3"/>
    <x v="0"/>
    <s v="Hyderabad"/>
    <x v="8"/>
    <x v="0"/>
    <s v="Retailer"/>
    <n v="14"/>
    <n v="214.49"/>
    <n v="15"/>
    <n v="2552.4299999999998"/>
    <n v="2552.431"/>
  </r>
  <r>
    <s v="HUL10452"/>
    <x v="248"/>
    <x v="11"/>
    <x v="1"/>
    <s v="Mumbai"/>
    <x v="4"/>
    <x v="3"/>
    <s v="Retailer"/>
    <n v="6"/>
    <n v="238.94"/>
    <n v="20"/>
    <n v="1146.9100000000001"/>
    <n v="1146.912"/>
  </r>
  <r>
    <s v="HUL10453"/>
    <x v="255"/>
    <x v="9"/>
    <x v="2"/>
    <s v="Mumbai"/>
    <x v="4"/>
    <x v="0"/>
    <s v="Online Customer"/>
    <n v="24"/>
    <n v="306.31"/>
    <n v="5"/>
    <n v="6983.87"/>
    <n v="6983.8680000000004"/>
  </r>
  <r>
    <s v="HUL10454"/>
    <x v="195"/>
    <x v="11"/>
    <x v="1"/>
    <s v="Noida"/>
    <x v="0"/>
    <x v="2"/>
    <s v="Retailer"/>
    <n v="22"/>
    <n v="232.44"/>
    <n v="15"/>
    <n v="4346.63"/>
    <n v="4346.6279999999997"/>
  </r>
  <r>
    <s v="HUL10455"/>
    <x v="101"/>
    <x v="3"/>
    <x v="0"/>
    <s v="Chennai"/>
    <x v="2"/>
    <x v="1"/>
    <s v="Online Customer"/>
    <n v="2"/>
    <n v="213.38"/>
    <n v="20"/>
    <n v="341.41"/>
    <n v="341.40800000000002"/>
  </r>
  <r>
    <s v="HUL10456"/>
    <x v="256"/>
    <x v="12"/>
    <x v="3"/>
    <s v="Chennai"/>
    <x v="2"/>
    <x v="3"/>
    <s v="Online Customer"/>
    <n v="30"/>
    <n v="131.85"/>
    <n v="15"/>
    <n v="3362.18"/>
    <n v="3362.1749999999997"/>
  </r>
  <r>
    <s v="HUL10457"/>
    <x v="92"/>
    <x v="2"/>
    <x v="0"/>
    <s v="Mumbai"/>
    <x v="4"/>
    <x v="0"/>
    <s v="Wholesaler"/>
    <n v="20"/>
    <n v="61.12"/>
    <n v="20"/>
    <n v="977.92"/>
    <n v="977.92"/>
  </r>
  <r>
    <s v="HUL10458"/>
    <x v="52"/>
    <x v="3"/>
    <x v="0"/>
    <s v="Jaipur"/>
    <x v="1"/>
    <x v="0"/>
    <s v="Retailer"/>
    <n v="5"/>
    <n v="227.09"/>
    <n v="10"/>
    <n v="1021.91"/>
    <n v="1021.9050000000001"/>
  </r>
  <r>
    <s v="HUL10459"/>
    <x v="58"/>
    <x v="12"/>
    <x v="3"/>
    <s v="Chennai"/>
    <x v="2"/>
    <x v="2"/>
    <s v="Retailer"/>
    <n v="16"/>
    <n v="128.88"/>
    <n v="20"/>
    <n v="1649.66"/>
    <n v="1649.664"/>
  </r>
  <r>
    <s v="HUL10460"/>
    <x v="257"/>
    <x v="4"/>
    <x v="0"/>
    <s v="Pune"/>
    <x v="4"/>
    <x v="3"/>
    <s v="Retailer"/>
    <n v="18"/>
    <n v="124.34"/>
    <n v="0"/>
    <n v="2238.12"/>
    <n v="2238.12"/>
  </r>
  <r>
    <s v="HUL10461"/>
    <x v="151"/>
    <x v="1"/>
    <x v="0"/>
    <s v="Ahmedabad"/>
    <x v="5"/>
    <x v="2"/>
    <s v="Retailer"/>
    <n v="20"/>
    <n v="143.91999999999999"/>
    <n v="15"/>
    <n v="2446.64"/>
    <n v="2446.6399999999994"/>
  </r>
  <r>
    <s v="HUL10462"/>
    <x v="226"/>
    <x v="10"/>
    <x v="3"/>
    <s v="Mumbai"/>
    <x v="4"/>
    <x v="1"/>
    <s v="Online Customer"/>
    <n v="27"/>
    <n v="149.74"/>
    <n v="10"/>
    <n v="3638.68"/>
    <n v="3638.6820000000007"/>
  </r>
  <r>
    <s v="HUL10463"/>
    <x v="258"/>
    <x v="0"/>
    <x v="0"/>
    <s v="Chennai"/>
    <x v="2"/>
    <x v="1"/>
    <s v="Retailer"/>
    <n v="20"/>
    <n v="55.85"/>
    <n v="10"/>
    <n v="1005.3"/>
    <n v="1005.3000000000001"/>
  </r>
  <r>
    <s v="HUL10464"/>
    <x v="259"/>
    <x v="12"/>
    <x v="3"/>
    <s v="Ahmedabad"/>
    <x v="5"/>
    <x v="1"/>
    <s v="Online Customer"/>
    <n v="16"/>
    <n v="121.76"/>
    <n v="20"/>
    <n v="1558.53"/>
    <n v="1558.5280000000002"/>
  </r>
  <r>
    <s v="HUL10465"/>
    <x v="163"/>
    <x v="11"/>
    <x v="1"/>
    <s v="Hyderabad"/>
    <x v="8"/>
    <x v="3"/>
    <s v="Retailer"/>
    <n v="18"/>
    <n v="246.73"/>
    <n v="0"/>
    <n v="4441.1400000000003"/>
    <n v="4441.1399999999994"/>
  </r>
  <r>
    <s v="HUL10466"/>
    <x v="260"/>
    <x v="2"/>
    <x v="0"/>
    <s v="Noida"/>
    <x v="0"/>
    <x v="1"/>
    <s v="Wholesaler"/>
    <n v="4"/>
    <n v="64.33"/>
    <n v="20"/>
    <n v="205.86"/>
    <n v="205.85599999999999"/>
  </r>
  <r>
    <s v="HUL10467"/>
    <x v="261"/>
    <x v="5"/>
    <x v="1"/>
    <s v="Pune"/>
    <x v="4"/>
    <x v="3"/>
    <s v="Wholesaler"/>
    <n v="23"/>
    <n v="155.63"/>
    <n v="10"/>
    <n v="3221.54"/>
    <n v="3221.5409999999997"/>
  </r>
  <r>
    <s v="HUL10468"/>
    <x v="262"/>
    <x v="13"/>
    <x v="0"/>
    <s v="Kolkata"/>
    <x v="7"/>
    <x v="2"/>
    <s v="Wholesaler"/>
    <n v="22"/>
    <n v="72.88"/>
    <n v="5"/>
    <n v="1523.19"/>
    <n v="1523.1919999999998"/>
  </r>
  <r>
    <s v="HUL10469"/>
    <x v="263"/>
    <x v="2"/>
    <x v="0"/>
    <s v="Noida"/>
    <x v="0"/>
    <x v="3"/>
    <s v="Wholesaler"/>
    <n v="26"/>
    <n v="68.81"/>
    <n v="10"/>
    <n v="1610.15"/>
    <n v="1610.154"/>
  </r>
  <r>
    <s v="HUL10470"/>
    <x v="12"/>
    <x v="12"/>
    <x v="3"/>
    <s v="Bengaluru"/>
    <x v="6"/>
    <x v="2"/>
    <s v="Retailer"/>
    <n v="9"/>
    <n v="115.07"/>
    <n v="10"/>
    <n v="932.07"/>
    <n v="932.06699999999989"/>
  </r>
  <r>
    <s v="HUL10471"/>
    <x v="40"/>
    <x v="10"/>
    <x v="3"/>
    <s v="Hyderabad"/>
    <x v="8"/>
    <x v="0"/>
    <s v="Retailer"/>
    <n v="16"/>
    <n v="139.29"/>
    <n v="20"/>
    <n v="1782.91"/>
    <n v="1782.912"/>
  </r>
  <r>
    <s v="HUL10472"/>
    <x v="264"/>
    <x v="11"/>
    <x v="1"/>
    <s v="Hyderabad"/>
    <x v="8"/>
    <x v="1"/>
    <s v="Retailer"/>
    <n v="5"/>
    <n v="249.6"/>
    <n v="0"/>
    <n v="1248"/>
    <n v="1248"/>
  </r>
  <r>
    <s v="HUL10473"/>
    <x v="40"/>
    <x v="6"/>
    <x v="2"/>
    <s v="Kanpur"/>
    <x v="0"/>
    <x v="2"/>
    <s v="Online Customer"/>
    <n v="7"/>
    <n v="278.76"/>
    <n v="10"/>
    <n v="1756.19"/>
    <n v="1756.1879999999999"/>
  </r>
  <r>
    <s v="HUL10474"/>
    <x v="51"/>
    <x v="9"/>
    <x v="2"/>
    <s v="Delhi"/>
    <x v="3"/>
    <x v="0"/>
    <s v="Retailer"/>
    <n v="20"/>
    <n v="311.39999999999998"/>
    <n v="5"/>
    <n v="5916.6"/>
    <n v="5916.5999999999995"/>
  </r>
  <r>
    <s v="HUL10475"/>
    <x v="265"/>
    <x v="0"/>
    <x v="0"/>
    <s v="Delhi"/>
    <x v="3"/>
    <x v="2"/>
    <s v="Wholesaler"/>
    <n v="29"/>
    <n v="51.1"/>
    <n v="5"/>
    <n v="1407.8"/>
    <n v="1407.8050000000001"/>
  </r>
  <r>
    <s v="HUL10476"/>
    <x v="266"/>
    <x v="2"/>
    <x v="0"/>
    <s v="Ahmedabad"/>
    <x v="5"/>
    <x v="2"/>
    <s v="Online Customer"/>
    <n v="4"/>
    <n v="68.95"/>
    <n v="10"/>
    <n v="248.22"/>
    <n v="248.22000000000003"/>
  </r>
  <r>
    <s v="HUL10477"/>
    <x v="223"/>
    <x v="9"/>
    <x v="2"/>
    <s v="Pune"/>
    <x v="4"/>
    <x v="0"/>
    <s v="Online Customer"/>
    <n v="2"/>
    <n v="313.04000000000002"/>
    <n v="20"/>
    <n v="500.86"/>
    <n v="500.86400000000003"/>
  </r>
  <r>
    <s v="HUL10478"/>
    <x v="149"/>
    <x v="15"/>
    <x v="0"/>
    <s v="Noida"/>
    <x v="0"/>
    <x v="0"/>
    <s v="Online Customer"/>
    <n v="26"/>
    <n v="231.42"/>
    <n v="0"/>
    <n v="6016.92"/>
    <n v="6016.92"/>
  </r>
  <r>
    <s v="HUL10479"/>
    <x v="79"/>
    <x v="0"/>
    <x v="0"/>
    <s v="Kolkata"/>
    <x v="7"/>
    <x v="2"/>
    <s v="Wholesaler"/>
    <n v="21"/>
    <n v="56.51"/>
    <n v="5"/>
    <n v="1127.3699999999999"/>
    <n v="1127.3744999999999"/>
  </r>
  <r>
    <s v="HUL10480"/>
    <x v="267"/>
    <x v="12"/>
    <x v="3"/>
    <s v="Ahmedabad"/>
    <x v="5"/>
    <x v="2"/>
    <s v="Retailer"/>
    <n v="25"/>
    <n v="114.96"/>
    <n v="15"/>
    <n v="2442.9"/>
    <n v="2442.9"/>
  </r>
  <r>
    <s v="HUL10481"/>
    <x v="256"/>
    <x v="4"/>
    <x v="0"/>
    <s v="Pune"/>
    <x v="4"/>
    <x v="3"/>
    <s v="Wholesaler"/>
    <n v="13"/>
    <n v="119.92"/>
    <n v="5"/>
    <n v="1481.01"/>
    <n v="1481.0119999999999"/>
  </r>
  <r>
    <s v="HUL10482"/>
    <x v="268"/>
    <x v="2"/>
    <x v="0"/>
    <s v="Delhi"/>
    <x v="3"/>
    <x v="1"/>
    <s v="Online Customer"/>
    <n v="10"/>
    <n v="68.23"/>
    <n v="0"/>
    <n v="682.3"/>
    <n v="682.30000000000007"/>
  </r>
  <r>
    <s v="HUL10483"/>
    <x v="7"/>
    <x v="1"/>
    <x v="0"/>
    <s v="Kolkata"/>
    <x v="7"/>
    <x v="2"/>
    <s v="Wholesaler"/>
    <n v="7"/>
    <n v="156.47999999999999"/>
    <n v="5"/>
    <n v="1040.5899999999999"/>
    <n v="1040.5919999999999"/>
  </r>
  <r>
    <s v="HUL10484"/>
    <x v="12"/>
    <x v="7"/>
    <x v="0"/>
    <s v="Mumbai"/>
    <x v="4"/>
    <x v="0"/>
    <s v="Retailer"/>
    <n v="30"/>
    <n v="195.51"/>
    <n v="0"/>
    <n v="5865.3"/>
    <n v="5865.2999999999993"/>
  </r>
  <r>
    <s v="HUL10485"/>
    <x v="256"/>
    <x v="4"/>
    <x v="0"/>
    <s v="Noida"/>
    <x v="0"/>
    <x v="0"/>
    <s v="Online Customer"/>
    <n v="3"/>
    <n v="115.52"/>
    <n v="15"/>
    <n v="294.58"/>
    <n v="294.57600000000002"/>
  </r>
  <r>
    <s v="HUL10486"/>
    <x v="60"/>
    <x v="5"/>
    <x v="1"/>
    <s v="Noida"/>
    <x v="0"/>
    <x v="0"/>
    <s v="Online Customer"/>
    <n v="18"/>
    <n v="146.32"/>
    <n v="15"/>
    <n v="2238.6999999999998"/>
    <n v="2238.6959999999999"/>
  </r>
  <r>
    <s v="HUL10487"/>
    <x v="11"/>
    <x v="15"/>
    <x v="0"/>
    <s v="Lucknow"/>
    <x v="0"/>
    <x v="2"/>
    <s v="Online Customer"/>
    <n v="27"/>
    <n v="222.84"/>
    <n v="15"/>
    <n v="5114.18"/>
    <n v="5114.1779999999999"/>
  </r>
  <r>
    <s v="HUL10488"/>
    <x v="265"/>
    <x v="2"/>
    <x v="0"/>
    <s v="Pune"/>
    <x v="4"/>
    <x v="2"/>
    <s v="Online Customer"/>
    <n v="24"/>
    <n v="61.81"/>
    <n v="10"/>
    <n v="1335.1"/>
    <n v="1335.096"/>
  </r>
  <r>
    <s v="HUL10489"/>
    <x v="112"/>
    <x v="15"/>
    <x v="0"/>
    <s v="Lucknow"/>
    <x v="0"/>
    <x v="3"/>
    <s v="Online Customer"/>
    <n v="18"/>
    <n v="227.75"/>
    <n v="0"/>
    <n v="4099.5"/>
    <n v="4099.5"/>
  </r>
  <r>
    <s v="HUL10490"/>
    <x v="269"/>
    <x v="7"/>
    <x v="0"/>
    <s v="Jaipur"/>
    <x v="1"/>
    <x v="3"/>
    <s v="Online Customer"/>
    <n v="20"/>
    <n v="185.19"/>
    <n v="5"/>
    <n v="3518.61"/>
    <n v="3518.61"/>
  </r>
  <r>
    <s v="HUL10491"/>
    <x v="41"/>
    <x v="13"/>
    <x v="0"/>
    <s v="Pune"/>
    <x v="4"/>
    <x v="3"/>
    <s v="Retailer"/>
    <n v="4"/>
    <n v="74.37"/>
    <n v="5"/>
    <n v="282.61"/>
    <n v="282.60599999999999"/>
  </r>
  <r>
    <s v="HUL10492"/>
    <x v="150"/>
    <x v="6"/>
    <x v="2"/>
    <s v="Noida"/>
    <x v="0"/>
    <x v="3"/>
    <s v="Retailer"/>
    <n v="29"/>
    <n v="310.82"/>
    <n v="20"/>
    <n v="7211.02"/>
    <n v="7211.0240000000013"/>
  </r>
  <r>
    <s v="HUL10493"/>
    <x v="210"/>
    <x v="15"/>
    <x v="0"/>
    <s v="Kanpur"/>
    <x v="0"/>
    <x v="1"/>
    <s v="Wholesaler"/>
    <n v="17"/>
    <n v="214.33"/>
    <n v="10"/>
    <n v="3279.25"/>
    <n v="3279.2490000000003"/>
  </r>
  <r>
    <s v="HUL10494"/>
    <x v="226"/>
    <x v="2"/>
    <x v="0"/>
    <s v="Mumbai"/>
    <x v="4"/>
    <x v="0"/>
    <s v="Retailer"/>
    <n v="24"/>
    <n v="66.400000000000006"/>
    <n v="5"/>
    <n v="1513.92"/>
    <n v="1513.92"/>
  </r>
  <r>
    <s v="HUL10495"/>
    <x v="212"/>
    <x v="2"/>
    <x v="0"/>
    <s v="Pune"/>
    <x v="4"/>
    <x v="3"/>
    <s v="Wholesaler"/>
    <n v="4"/>
    <n v="62.6"/>
    <n v="15"/>
    <n v="212.84"/>
    <n v="212.84"/>
  </r>
  <r>
    <s v="HUL10496"/>
    <x v="270"/>
    <x v="3"/>
    <x v="0"/>
    <s v="Bengaluru"/>
    <x v="6"/>
    <x v="2"/>
    <s v="Wholesaler"/>
    <n v="2"/>
    <n v="226.39"/>
    <n v="15"/>
    <n v="384.86"/>
    <n v="384.86299999999994"/>
  </r>
  <r>
    <s v="HUL10497"/>
    <x v="240"/>
    <x v="14"/>
    <x v="3"/>
    <s v="Hyderabad"/>
    <x v="8"/>
    <x v="0"/>
    <s v="Wholesaler"/>
    <n v="23"/>
    <n v="110.35"/>
    <n v="15"/>
    <n v="2157.34"/>
    <n v="2157.3424999999997"/>
  </r>
  <r>
    <s v="HUL10498"/>
    <x v="96"/>
    <x v="15"/>
    <x v="0"/>
    <s v="Kolkata"/>
    <x v="7"/>
    <x v="2"/>
    <s v="Retailer"/>
    <n v="6"/>
    <n v="238.09"/>
    <n v="5"/>
    <n v="1357.11"/>
    <n v="1357.1129999999998"/>
  </r>
  <r>
    <s v="HUL10499"/>
    <x v="65"/>
    <x v="10"/>
    <x v="3"/>
    <s v="Kolkata"/>
    <x v="7"/>
    <x v="1"/>
    <s v="Retailer"/>
    <n v="4"/>
    <n v="147.13"/>
    <n v="0"/>
    <n v="588.52"/>
    <n v="588.52"/>
  </r>
  <r>
    <s v="HUL10500"/>
    <x v="40"/>
    <x v="13"/>
    <x v="0"/>
    <s v="Kanpur"/>
    <x v="0"/>
    <x v="3"/>
    <s v="Retailer"/>
    <n v="12"/>
    <n v="80.66"/>
    <n v="5"/>
    <n v="919.52"/>
    <n v="919.52399999999989"/>
  </r>
  <r>
    <s v="HUL10501"/>
    <x v="271"/>
    <x v="1"/>
    <x v="0"/>
    <s v="Mumbai"/>
    <x v="4"/>
    <x v="0"/>
    <s v="Online Customer"/>
    <n v="29"/>
    <n v="138.25"/>
    <n v="0"/>
    <n v="4009.25"/>
    <n v="4009.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2B5FE-6811-4411-815D-4FF406F6CA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9:I36" firstHeaderRow="1" firstDataRow="1" firstDataCol="1"/>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axis="axisRow" showAll="0">
      <items count="17">
        <item x="6"/>
        <item x="1"/>
        <item x="10"/>
        <item x="15"/>
        <item x="13"/>
        <item x="11"/>
        <item x="9"/>
        <item x="5"/>
        <item x="4"/>
        <item x="0"/>
        <item x="2"/>
        <item x="3"/>
        <item x="12"/>
        <item x="7"/>
        <item x="8"/>
        <item x="14"/>
        <item t="default"/>
      </items>
    </pivotField>
    <pivotField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Net_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691240-446D-41A0-94D0-352122DB84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9:M24" firstHeaderRow="0" firstDataRow="1" firstDataCol="1"/>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items count="17">
        <item x="6"/>
        <item x="1"/>
        <item x="10"/>
        <item x="15"/>
        <item x="13"/>
        <item x="11"/>
        <item x="9"/>
        <item x="5"/>
        <item x="4"/>
        <item x="0"/>
        <item x="2"/>
        <item x="3"/>
        <item x="12"/>
        <item x="7"/>
        <item x="8"/>
        <item x="14"/>
        <item t="default"/>
      </items>
    </pivotField>
    <pivotField showAll="0">
      <items count="5">
        <item x="0"/>
        <item x="1"/>
        <item x="3"/>
        <item x="2"/>
        <item t="default"/>
      </items>
    </pivotField>
    <pivotField showAll="0"/>
    <pivotField showAll="0">
      <items count="10">
        <item x="3"/>
        <item x="5"/>
        <item x="6"/>
        <item x="4"/>
        <item x="1"/>
        <item x="2"/>
        <item x="8"/>
        <item x="0"/>
        <item x="7"/>
        <item t="default"/>
      </items>
    </pivotField>
    <pivotField axis="axisRow" showAll="0">
      <items count="5">
        <item x="3"/>
        <item x="1"/>
        <item x="2"/>
        <item x="0"/>
        <item t="default"/>
      </items>
    </pivotField>
    <pivotField showAll="0"/>
    <pivotField dataField="1"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Net_Sales" fld="12" baseField="0" baseItem="0"/>
    <dataField name="Sum of Units_Sold"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FF0212-FF64-474F-94BF-7F01DB2B6B08}"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Q10:Q11" firstHeaderRow="1" firstDataRow="1" firstDataCol="0"/>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pivotField showAll="0">
      <items count="5">
        <item x="0"/>
        <item x="1"/>
        <item x="3"/>
        <item x="2"/>
        <item t="default"/>
      </items>
    </pivotField>
    <pivotField showAll="0"/>
    <pivotField showAll="0">
      <items count="10">
        <item x="3"/>
        <item x="5"/>
        <item x="6"/>
        <item x="4"/>
        <item x="1"/>
        <item x="2"/>
        <item x="8"/>
        <item x="0"/>
        <item x="7"/>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_Sales" fld="12" baseField="0" baseItem="0" numFmtId="165"/>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52A9B0-0B33-4F10-A685-BB302EAA0E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items count="17">
        <item x="6"/>
        <item x="1"/>
        <item x="10"/>
        <item x="15"/>
        <item x="13"/>
        <item x="11"/>
        <item x="9"/>
        <item x="5"/>
        <item x="4"/>
        <item x="0"/>
        <item x="2"/>
        <item x="3"/>
        <item x="12"/>
        <item x="7"/>
        <item x="8"/>
        <item x="14"/>
        <item t="default"/>
      </items>
    </pivotField>
    <pivotField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_Sold" fld="8" baseField="0" baseItem="0"/>
  </dataFields>
  <formats count="2">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AD684-6234-40E0-968B-16040729A37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3" firstHeaderRow="1" firstDataRow="1" firstDataCol="1"/>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pivotField showAll="0">
      <items count="5">
        <item x="0"/>
        <item x="1"/>
        <item x="3"/>
        <item x="2"/>
        <item t="default"/>
      </items>
    </pivotField>
    <pivotField showAll="0"/>
    <pivotField axis="axisRow" showAll="0">
      <items count="10">
        <item x="3"/>
        <item x="5"/>
        <item x="6"/>
        <item x="4"/>
        <item x="1"/>
        <item x="2"/>
        <item x="8"/>
        <item x="0"/>
        <item x="7"/>
        <item t="default"/>
      </items>
    </pivotField>
    <pivotField showAll="0">
      <items count="5">
        <item x="3"/>
        <item x="1"/>
        <item x="2"/>
        <item x="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Sum of Net_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8E077-87C1-44AA-A9E5-DA6673232D1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5">
    <pivotField dataField="1"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items count="17">
        <item x="6"/>
        <item x="1"/>
        <item x="10"/>
        <item x="15"/>
        <item x="13"/>
        <item x="11"/>
        <item x="9"/>
        <item x="5"/>
        <item x="4"/>
        <item x="0"/>
        <item x="2"/>
        <item x="3"/>
        <item x="12"/>
        <item x="7"/>
        <item x="8"/>
        <item x="14"/>
        <item t="default"/>
      </items>
    </pivotField>
    <pivotField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_ID2" fld="0" subtotal="count" baseField="0" baseItem="0" numFmtId="2"/>
  </dataFields>
  <formats count="2">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924D9F-FFBA-42B0-8988-7CE338CB8870}" name="PivotTable2"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17">
  <location ref="H3:I8" firstHeaderRow="1" firstDataRow="1" firstDataCol="1"/>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items count="17">
        <item x="6"/>
        <item x="1"/>
        <item x="10"/>
        <item x="15"/>
        <item x="13"/>
        <item x="11"/>
        <item x="9"/>
        <item x="5"/>
        <item x="4"/>
        <item x="0"/>
        <item x="2"/>
        <item x="3"/>
        <item x="12"/>
        <item x="7"/>
        <item x="8"/>
        <item x="14"/>
        <item t="default"/>
      </items>
    </pivotField>
    <pivotField axis="axisRow"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Net_Sales" fld="12" baseField="0" baseItem="0"/>
  </dataFields>
  <chartFormats count="5">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1"/>
          </reference>
        </references>
      </pivotArea>
    </chartFormat>
    <chartFormat chart="9" format="15">
      <pivotArea type="data" outline="0" fieldPosition="0">
        <references count="2">
          <reference field="4294967294" count="1" selected="0">
            <x v="0"/>
          </reference>
          <reference field="3" count="1" selected="0">
            <x v="2"/>
          </reference>
        </references>
      </pivotArea>
    </chartFormat>
    <chartFormat chart="9" format="1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480001-DB78-41EB-984B-01C4C12E667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20:P33" firstHeaderRow="1" firstDataRow="1" firstDataCol="1"/>
  <pivotFields count="15">
    <pivotField showAll="0"/>
    <pivotField axis="axisRow"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items count="17">
        <item x="6"/>
        <item x="1"/>
        <item x="10"/>
        <item x="15"/>
        <item x="13"/>
        <item x="11"/>
        <item x="9"/>
        <item x="5"/>
        <item x="4"/>
        <item x="0"/>
        <item x="2"/>
        <item x="3"/>
        <item x="12"/>
        <item x="7"/>
        <item x="8"/>
        <item x="14"/>
        <item t="default"/>
      </items>
    </pivotField>
    <pivotField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Net_Sales" fld="12" baseField="0" baseItem="0" numFmtId="165"/>
  </dataFields>
  <formats count="2">
    <format dxfId="11">
      <pivotArea outline="0" collapsedLevelsAreSubtotals="1"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C235D9-F936-435D-B1A1-76B561A85E9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5:D6" firstHeaderRow="1" firstDataRow="1" firstDataCol="0"/>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items count="17">
        <item x="6"/>
        <item x="1"/>
        <item x="10"/>
        <item x="15"/>
        <item x="13"/>
        <item x="11"/>
        <item x="9"/>
        <item x="5"/>
        <item x="4"/>
        <item x="0"/>
        <item x="2"/>
        <item x="3"/>
        <item x="12"/>
        <item x="7"/>
        <item x="8"/>
        <item x="14"/>
        <item t="default"/>
      </items>
    </pivotField>
    <pivotField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Net_Sales" fld="12"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1BFBF6-4CE7-4151-B008-925CB332D473}" name="PivotTable4"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10">
  <location ref="R10:R11" firstHeaderRow="1" firstDataRow="1" firstDataCol="0"/>
  <pivotFields count="15">
    <pivotField showAll="0"/>
    <pivotField numFmtId="164" showAll="0">
      <items count="273">
        <item x="185"/>
        <item x="8"/>
        <item x="193"/>
        <item x="204"/>
        <item x="98"/>
        <item x="92"/>
        <item x="70"/>
        <item x="110"/>
        <item x="80"/>
        <item x="265"/>
        <item x="79"/>
        <item x="118"/>
        <item x="147"/>
        <item x="146"/>
        <item x="263"/>
        <item x="108"/>
        <item x="195"/>
        <item x="144"/>
        <item x="197"/>
        <item x="168"/>
        <item x="97"/>
        <item x="19"/>
        <item x="236"/>
        <item x="166"/>
        <item x="141"/>
        <item x="62"/>
        <item x="202"/>
        <item x="119"/>
        <item x="100"/>
        <item x="158"/>
        <item x="14"/>
        <item x="216"/>
        <item x="61"/>
        <item x="20"/>
        <item x="257"/>
        <item x="122"/>
        <item x="3"/>
        <item x="227"/>
        <item x="37"/>
        <item x="18"/>
        <item x="68"/>
        <item x="159"/>
        <item x="238"/>
        <item x="66"/>
        <item x="47"/>
        <item x="12"/>
        <item x="183"/>
        <item x="205"/>
        <item x="233"/>
        <item x="56"/>
        <item x="203"/>
        <item x="143"/>
        <item x="162"/>
        <item x="32"/>
        <item x="55"/>
        <item x="196"/>
        <item x="219"/>
        <item x="13"/>
        <item x="84"/>
        <item x="102"/>
        <item x="169"/>
        <item x="120"/>
        <item x="132"/>
        <item x="115"/>
        <item x="81"/>
        <item x="242"/>
        <item x="94"/>
        <item x="93"/>
        <item x="112"/>
        <item x="224"/>
        <item x="59"/>
        <item x="213"/>
        <item x="29"/>
        <item x="15"/>
        <item x="269"/>
        <item x="145"/>
        <item x="0"/>
        <item x="271"/>
        <item x="230"/>
        <item x="49"/>
        <item x="254"/>
        <item x="101"/>
        <item x="33"/>
        <item x="26"/>
        <item x="188"/>
        <item x="63"/>
        <item x="176"/>
        <item x="52"/>
        <item x="266"/>
        <item x="187"/>
        <item x="245"/>
        <item x="53"/>
        <item x="157"/>
        <item x="30"/>
        <item x="116"/>
        <item x="27"/>
        <item x="177"/>
        <item x="217"/>
        <item x="16"/>
        <item x="69"/>
        <item x="23"/>
        <item x="199"/>
        <item x="109"/>
        <item x="241"/>
        <item x="46"/>
        <item x="51"/>
        <item x="200"/>
        <item x="243"/>
        <item x="212"/>
        <item x="130"/>
        <item x="207"/>
        <item x="180"/>
        <item x="194"/>
        <item x="167"/>
        <item x="121"/>
        <item x="24"/>
        <item x="191"/>
        <item x="248"/>
        <item x="259"/>
        <item x="78"/>
        <item x="72"/>
        <item x="173"/>
        <item x="198"/>
        <item x="71"/>
        <item x="262"/>
        <item x="44"/>
        <item x="124"/>
        <item x="74"/>
        <item x="251"/>
        <item x="36"/>
        <item x="64"/>
        <item x="156"/>
        <item x="60"/>
        <item x="129"/>
        <item x="171"/>
        <item x="126"/>
        <item x="149"/>
        <item x="181"/>
        <item x="40"/>
        <item x="260"/>
        <item x="10"/>
        <item x="2"/>
        <item x="164"/>
        <item x="34"/>
        <item x="252"/>
        <item x="232"/>
        <item x="87"/>
        <item x="104"/>
        <item x="28"/>
        <item x="165"/>
        <item x="267"/>
        <item x="209"/>
        <item x="17"/>
        <item x="150"/>
        <item x="178"/>
        <item x="83"/>
        <item x="114"/>
        <item x="125"/>
        <item x="140"/>
        <item x="226"/>
        <item x="11"/>
        <item x="9"/>
        <item x="258"/>
        <item x="106"/>
        <item x="214"/>
        <item x="172"/>
        <item x="148"/>
        <item x="222"/>
        <item x="117"/>
        <item x="90"/>
        <item x="234"/>
        <item x="82"/>
        <item x="206"/>
        <item x="218"/>
        <item x="39"/>
        <item x="137"/>
        <item x="270"/>
        <item x="151"/>
        <item x="249"/>
        <item x="133"/>
        <item x="250"/>
        <item x="268"/>
        <item x="215"/>
        <item x="154"/>
        <item x="58"/>
        <item x="105"/>
        <item x="85"/>
        <item x="41"/>
        <item x="155"/>
        <item x="220"/>
        <item x="135"/>
        <item x="7"/>
        <item x="6"/>
        <item x="221"/>
        <item x="86"/>
        <item x="65"/>
        <item x="223"/>
        <item x="170"/>
        <item x="54"/>
        <item x="43"/>
        <item x="253"/>
        <item x="244"/>
        <item x="239"/>
        <item x="192"/>
        <item x="201"/>
        <item x="225"/>
        <item x="95"/>
        <item x="22"/>
        <item x="38"/>
        <item x="136"/>
        <item x="42"/>
        <item x="35"/>
        <item x="264"/>
        <item x="134"/>
        <item x="123"/>
        <item x="138"/>
        <item x="99"/>
        <item x="25"/>
        <item x="235"/>
        <item x="107"/>
        <item x="184"/>
        <item x="240"/>
        <item x="190"/>
        <item x="131"/>
        <item x="89"/>
        <item x="247"/>
        <item x="91"/>
        <item x="127"/>
        <item x="210"/>
        <item x="50"/>
        <item x="76"/>
        <item x="45"/>
        <item x="103"/>
        <item x="211"/>
        <item x="77"/>
        <item x="113"/>
        <item x="111"/>
        <item x="261"/>
        <item x="153"/>
        <item x="237"/>
        <item x="48"/>
        <item x="73"/>
        <item x="189"/>
        <item x="5"/>
        <item x="208"/>
        <item x="186"/>
        <item x="160"/>
        <item x="96"/>
        <item x="256"/>
        <item x="67"/>
        <item x="21"/>
        <item x="57"/>
        <item x="139"/>
        <item x="174"/>
        <item x="231"/>
        <item x="31"/>
        <item x="128"/>
        <item x="88"/>
        <item x="179"/>
        <item x="163"/>
        <item x="175"/>
        <item x="255"/>
        <item x="182"/>
        <item x="229"/>
        <item x="246"/>
        <item x="152"/>
        <item x="1"/>
        <item x="75"/>
        <item x="142"/>
        <item x="161"/>
        <item x="4"/>
        <item x="228"/>
        <item t="default"/>
      </items>
    </pivotField>
    <pivotField showAll="0"/>
    <pivotField showAll="0">
      <items count="5">
        <item x="0"/>
        <item x="1"/>
        <item x="3"/>
        <item x="2"/>
        <item t="default"/>
      </items>
    </pivotField>
    <pivotField showAll="0"/>
    <pivotField showAll="0">
      <items count="10">
        <item x="3"/>
        <item x="5"/>
        <item x="6"/>
        <item x="4"/>
        <item x="1"/>
        <item x="2"/>
        <item x="8"/>
        <item x="0"/>
        <item x="7"/>
        <item t="default"/>
      </items>
    </pivotField>
    <pivotField showAll="0">
      <items count="5">
        <item x="3"/>
        <item x="1"/>
        <item x="2"/>
        <item x="0"/>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_Sold" fld="8" baseField="0" baseItem="0"/>
  </dataFields>
  <chartFormats count="1">
    <chartFormat chart="9"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830DE1D-30F8-45F6-8AF6-7CAA58964DF6}" sourceName="Stat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999979993">
      <items count="9">
        <i x="3" s="1"/>
        <i x="5" s="1"/>
        <i x="6" s="1"/>
        <i x="4" s="1"/>
        <i x="1" s="1"/>
        <i x="2" s="1"/>
        <i x="8"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FF3DFDD-6A41-47A8-8B50-0C5A5E73833D}" sourceName="Product">
  <pivotTables>
    <pivotTable tabId="2" name="PivotTable2"/>
    <pivotTable tabId="2" name="PivotTable1"/>
    <pivotTable tabId="2" name="PivotTable10"/>
    <pivotTable tabId="2" name="PivotTable6"/>
    <pivotTable tabId="2" name="PivotTable7"/>
    <pivotTable tabId="2" name="PivotTable8"/>
    <pivotTable tabId="2" name="PivotTable9"/>
  </pivotTables>
  <data>
    <tabular pivotCacheId="1999979993">
      <items count="16">
        <i x="6" s="1"/>
        <i x="1" s="1"/>
        <i x="10" s="1"/>
        <i x="15" s="1"/>
        <i x="13" s="1"/>
        <i x="11" s="1"/>
        <i x="9" s="1"/>
        <i x="5" s="1"/>
        <i x="4" s="1"/>
        <i x="0" s="1"/>
        <i x="2" s="1"/>
        <i x="3" s="1"/>
        <i x="12" s="1"/>
        <i x="7" s="1"/>
        <i x="8"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2FDFC06-245B-4879-99B5-1F2225D67570}" sourceName="Sales_Channel">
  <pivotTables>
    <pivotTable tabId="2" name="PivotTable2"/>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1999979993">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F60A36-EB5A-4C0F-82E2-45EA34239B4A}" sourceName="Category">
  <pivotTables>
    <pivotTable tabId="2" name="PivotTable2"/>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1999979993">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0EFC13D-A6F6-4ED3-93B9-8C9A703A1072}" cache="Slicer_State" caption="State" startItem="5" style="SlicerStyleDark1" rowHeight="216000"/>
  <slicer name="Product" xr10:uid="{DD790101-7CA7-478A-9126-56F0A0E9377F}" cache="Slicer_Product" caption="Product" startItem="14" style="SlicerStyleDark1" rowHeight="216000"/>
  <slicer name="Sales_Channel" xr10:uid="{35961A0B-A456-4182-8ED7-369461F5EF7D}" cache="Slicer_Sales_Channel" caption="Sales_Channel" startItem="2" style="SlicerStyleDark1" rowHeight="216000"/>
  <slicer name="Category" xr10:uid="{B545642D-E164-4BA4-A1B4-9B64FDBCE4A3}" cache="Slicer_Category" caption="Category" startItem="2"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BBCDD8-F986-4C36-B618-2DBAD1B02D4B}" name="Table1" displayName="Table1" ref="A1:M501" totalsRowShown="0" headerRowDxfId="4" headerRowBorderDxfId="3" tableBorderDxfId="2">
  <autoFilter ref="A1:M501" xr:uid="{C2BBCDD8-F986-4C36-B618-2DBAD1B02D4B}"/>
  <tableColumns count="13">
    <tableColumn id="1" xr3:uid="{E2AA1D6E-B252-4110-B2A7-692860F9DAC8}" name="Order_ID"/>
    <tableColumn id="2" xr3:uid="{DA36AA8E-CE0D-40EA-8A08-0A7E93078A05}" name="Order_Date" dataDxfId="1"/>
    <tableColumn id="3" xr3:uid="{017B5908-32D8-49E9-A4A8-4C6FDB449BAA}" name="Product"/>
    <tableColumn id="4" xr3:uid="{9F7CDB86-E131-41C5-903B-B361703D5642}" name="Category"/>
    <tableColumn id="5" xr3:uid="{B13BDB39-3383-48B3-9A13-4368D7DD3D64}" name="City"/>
    <tableColumn id="6" xr3:uid="{5BF73E43-6E4C-4EFC-8B84-1C2A853F5E99}" name="State"/>
    <tableColumn id="7" xr3:uid="{D10CDE9F-33AB-4751-B9B2-4ADEB391E2DD}" name="Sales_Channel"/>
    <tableColumn id="8" xr3:uid="{E7FB24BB-B71A-41ED-9FCF-34956820CD9E}" name="Customer_Type"/>
    <tableColumn id="9" xr3:uid="{31BFBAB8-41EF-4AEA-A171-FBF32C9604A3}" name="Units_Sold"/>
    <tableColumn id="10" xr3:uid="{A42237C9-9D67-4F3D-85C1-733F47A070BD}" name="Unit_Price"/>
    <tableColumn id="11" xr3:uid="{ECFCFA26-1F4B-4DC5-AF4E-40A02D4F3106}" name="Discount_Percent"/>
    <tableColumn id="12" xr3:uid="{B83FD1A2-5668-4FAA-A574-EB98278A6EA3}" name="Revenue"/>
    <tableColumn id="13" xr3:uid="{6088B85C-341F-4D96-983B-2780AB32D6CC}" name="Net_Sales" dataDxfId="0">
      <calculatedColumnFormula>I2*J2*(1-K2/100)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7B00A-5BBF-4E92-9DFE-8172B8A78B73}">
  <dimension ref="A2:R36"/>
  <sheetViews>
    <sheetView topLeftCell="E1" workbookViewId="0">
      <selection activeCell="Q17" sqref="Q17"/>
    </sheetView>
  </sheetViews>
  <sheetFormatPr defaultRowHeight="14.4" x14ac:dyDescent="0.3"/>
  <cols>
    <col min="1" max="1" width="16.5546875" bestFit="1" customWidth="1"/>
    <col min="2" max="2" width="15.77734375" style="5" bestFit="1" customWidth="1"/>
    <col min="3" max="3" width="16.5546875" bestFit="1" customWidth="1"/>
    <col min="4" max="4" width="15.77734375" bestFit="1" customWidth="1"/>
    <col min="8" max="8" width="20.44140625" bestFit="1" customWidth="1"/>
    <col min="9" max="9" width="15.77734375" bestFit="1" customWidth="1"/>
    <col min="11" max="11" width="12.5546875" bestFit="1" customWidth="1"/>
    <col min="12" max="12" width="15.77734375" bestFit="1" customWidth="1"/>
    <col min="13" max="13" width="16.5546875" bestFit="1" customWidth="1"/>
    <col min="15" max="15" width="12.5546875" bestFit="1" customWidth="1"/>
    <col min="16" max="17" width="15.77734375" bestFit="1" customWidth="1"/>
    <col min="18" max="18" width="16.77734375" bestFit="1" customWidth="1"/>
  </cols>
  <sheetData>
    <row r="2" spans="1:18" x14ac:dyDescent="0.3">
      <c r="C2" t="s">
        <v>576</v>
      </c>
      <c r="D2" t="s">
        <v>577</v>
      </c>
    </row>
    <row r="3" spans="1:18" x14ac:dyDescent="0.3">
      <c r="A3" s="6" t="s">
        <v>578</v>
      </c>
      <c r="B3"/>
      <c r="I3" t="s">
        <v>562</v>
      </c>
      <c r="K3" s="3" t="s">
        <v>560</v>
      </c>
      <c r="L3" t="s">
        <v>562</v>
      </c>
    </row>
    <row r="4" spans="1:18" x14ac:dyDescent="0.3">
      <c r="A4" s="6">
        <v>500</v>
      </c>
      <c r="B4"/>
      <c r="C4" s="5" t="s">
        <v>563</v>
      </c>
      <c r="H4" s="4" t="s">
        <v>14</v>
      </c>
      <c r="I4">
        <v>514701.5264999998</v>
      </c>
      <c r="K4" s="4" t="s">
        <v>39</v>
      </c>
      <c r="L4">
        <v>89399.310499999992</v>
      </c>
    </row>
    <row r="5" spans="1:18" x14ac:dyDescent="0.3">
      <c r="B5"/>
      <c r="C5">
        <v>8078</v>
      </c>
      <c r="D5" s="5" t="s">
        <v>562</v>
      </c>
      <c r="H5" s="4" t="s">
        <v>43</v>
      </c>
      <c r="I5">
        <v>143438.49150000003</v>
      </c>
      <c r="K5" s="4" t="s">
        <v>53</v>
      </c>
      <c r="L5">
        <v>118595.01549999998</v>
      </c>
    </row>
    <row r="6" spans="1:18" x14ac:dyDescent="0.3">
      <c r="B6"/>
      <c r="D6" s="5">
        <v>1201303.3295000005</v>
      </c>
      <c r="H6" s="4" t="s">
        <v>64</v>
      </c>
      <c r="I6">
        <v>307033.38900000008</v>
      </c>
      <c r="K6" s="4" t="s">
        <v>61</v>
      </c>
      <c r="L6">
        <v>86672.912999999971</v>
      </c>
    </row>
    <row r="7" spans="1:18" x14ac:dyDescent="0.3">
      <c r="B7"/>
      <c r="H7" s="4" t="s">
        <v>46</v>
      </c>
      <c r="I7">
        <v>236129.92249999999</v>
      </c>
      <c r="K7" s="4" t="s">
        <v>48</v>
      </c>
      <c r="L7">
        <v>195100.31150000001</v>
      </c>
    </row>
    <row r="8" spans="1:18" x14ac:dyDescent="0.3">
      <c r="B8"/>
      <c r="H8" s="4" t="s">
        <v>561</v>
      </c>
      <c r="I8">
        <v>1201303.3295</v>
      </c>
      <c r="K8" s="4" t="s">
        <v>30</v>
      </c>
      <c r="L8">
        <v>116760.54400000002</v>
      </c>
      <c r="Q8" t="s">
        <v>579</v>
      </c>
      <c r="R8" s="8" t="s">
        <v>580</v>
      </c>
    </row>
    <row r="9" spans="1:18" x14ac:dyDescent="0.3">
      <c r="B9"/>
      <c r="K9" s="4" t="s">
        <v>35</v>
      </c>
      <c r="L9">
        <v>111836.477</v>
      </c>
    </row>
    <row r="10" spans="1:18" x14ac:dyDescent="0.3">
      <c r="B10"/>
      <c r="K10" s="4" t="s">
        <v>74</v>
      </c>
      <c r="L10">
        <v>103439.07550000002</v>
      </c>
      <c r="Q10" t="s">
        <v>562</v>
      </c>
      <c r="R10" t="s">
        <v>563</v>
      </c>
    </row>
    <row r="11" spans="1:18" x14ac:dyDescent="0.3">
      <c r="B11"/>
      <c r="K11" s="4" t="s">
        <v>16</v>
      </c>
      <c r="L11">
        <v>293503.924</v>
      </c>
      <c r="Q11" s="5">
        <v>1201303.3295000005</v>
      </c>
      <c r="R11">
        <v>8078</v>
      </c>
    </row>
    <row r="12" spans="1:18" x14ac:dyDescent="0.3">
      <c r="B12"/>
      <c r="K12" s="4" t="s">
        <v>67</v>
      </c>
      <c r="L12">
        <v>85995.758500000011</v>
      </c>
    </row>
    <row r="13" spans="1:18" x14ac:dyDescent="0.3">
      <c r="B13"/>
      <c r="K13" s="4" t="s">
        <v>561</v>
      </c>
      <c r="L13">
        <v>1201303.3295</v>
      </c>
      <c r="Q13" s="5">
        <f>GETPIVOTDATA("Net_Sales",$Q$10)</f>
        <v>1201303.3295000005</v>
      </c>
      <c r="R13">
        <f>GETPIVOTDATA("Units_Sold",$R$10)</f>
        <v>8078</v>
      </c>
    </row>
    <row r="14" spans="1:18" x14ac:dyDescent="0.3">
      <c r="B14"/>
      <c r="Q14" t="s">
        <v>581</v>
      </c>
    </row>
    <row r="15" spans="1:18" x14ac:dyDescent="0.3">
      <c r="B15"/>
      <c r="Q15" s="5">
        <f>GETPIVOTDATA("Net_Sales",$Q$10)/GETPIVOTDATA("Units_Sold",$R$10)</f>
        <v>148.71296478088641</v>
      </c>
    </row>
    <row r="16" spans="1:18" x14ac:dyDescent="0.3">
      <c r="B16"/>
    </row>
    <row r="17" spans="2:17" x14ac:dyDescent="0.3">
      <c r="B17"/>
      <c r="Q17" s="5">
        <f>Q15</f>
        <v>148.71296478088641</v>
      </c>
    </row>
    <row r="18" spans="2:17" x14ac:dyDescent="0.3">
      <c r="B18"/>
    </row>
    <row r="19" spans="2:17" x14ac:dyDescent="0.3">
      <c r="B19"/>
      <c r="H19" s="3" t="s">
        <v>560</v>
      </c>
      <c r="I19" t="s">
        <v>562</v>
      </c>
      <c r="K19" s="3" t="s">
        <v>560</v>
      </c>
      <c r="L19" t="s">
        <v>562</v>
      </c>
      <c r="M19" t="s">
        <v>563</v>
      </c>
      <c r="P19" s="5"/>
    </row>
    <row r="20" spans="2:17" x14ac:dyDescent="0.3">
      <c r="B20"/>
      <c r="H20" s="4" t="s">
        <v>45</v>
      </c>
      <c r="I20">
        <v>126491.255</v>
      </c>
      <c r="K20" s="4" t="s">
        <v>37</v>
      </c>
      <c r="L20">
        <v>316086.83199999994</v>
      </c>
      <c r="M20">
        <v>2135</v>
      </c>
      <c r="O20" s="3" t="s">
        <v>560</v>
      </c>
      <c r="P20" s="5" t="s">
        <v>562</v>
      </c>
    </row>
    <row r="21" spans="2:17" x14ac:dyDescent="0.3">
      <c r="H21" s="4" t="s">
        <v>20</v>
      </c>
      <c r="I21">
        <v>51573.598499999993</v>
      </c>
      <c r="K21" s="4" t="s">
        <v>22</v>
      </c>
      <c r="L21">
        <v>282369.65650000004</v>
      </c>
      <c r="M21">
        <v>1873</v>
      </c>
      <c r="O21" s="4" t="s">
        <v>564</v>
      </c>
      <c r="P21" s="5">
        <v>98570.588499999983</v>
      </c>
    </row>
    <row r="22" spans="2:17" x14ac:dyDescent="0.3">
      <c r="H22" s="4" t="s">
        <v>71</v>
      </c>
      <c r="I22">
        <v>55986.006499999981</v>
      </c>
      <c r="K22" s="4" t="s">
        <v>25</v>
      </c>
      <c r="L22">
        <v>274683.23100000015</v>
      </c>
      <c r="M22">
        <v>1951</v>
      </c>
      <c r="O22" s="4" t="s">
        <v>565</v>
      </c>
      <c r="P22" s="5">
        <v>73461.224500000011</v>
      </c>
    </row>
    <row r="23" spans="2:17" x14ac:dyDescent="0.3">
      <c r="H23" s="4" t="s">
        <v>104</v>
      </c>
      <c r="I23">
        <v>105266.85649999999</v>
      </c>
      <c r="K23" s="4" t="s">
        <v>17</v>
      </c>
      <c r="L23">
        <v>328163.61</v>
      </c>
      <c r="M23">
        <v>2119</v>
      </c>
      <c r="O23" s="4" t="s">
        <v>566</v>
      </c>
      <c r="P23" s="5">
        <v>119209.87500000003</v>
      </c>
    </row>
    <row r="24" spans="2:17" x14ac:dyDescent="0.3">
      <c r="H24" s="4" t="s">
        <v>86</v>
      </c>
      <c r="I24">
        <v>40437.758000000002</v>
      </c>
      <c r="K24" s="4" t="s">
        <v>561</v>
      </c>
      <c r="L24">
        <v>1201303.3295</v>
      </c>
      <c r="M24">
        <v>8078</v>
      </c>
      <c r="O24" s="4" t="s">
        <v>567</v>
      </c>
      <c r="P24" s="5">
        <v>107119.103</v>
      </c>
    </row>
    <row r="25" spans="2:17" x14ac:dyDescent="0.3">
      <c r="H25" s="4" t="s">
        <v>79</v>
      </c>
      <c r="I25">
        <v>70670.997499999998</v>
      </c>
      <c r="O25" s="4" t="s">
        <v>568</v>
      </c>
      <c r="P25" s="5">
        <v>99500.087499999994</v>
      </c>
    </row>
    <row r="26" spans="2:17" x14ac:dyDescent="0.3">
      <c r="H26" s="4" t="s">
        <v>69</v>
      </c>
      <c r="I26">
        <v>109638.66750000001</v>
      </c>
      <c r="O26" s="4" t="s">
        <v>569</v>
      </c>
      <c r="P26" s="5">
        <v>108257.9985</v>
      </c>
    </row>
    <row r="27" spans="2:17" x14ac:dyDescent="0.3">
      <c r="H27" s="4" t="s">
        <v>42</v>
      </c>
      <c r="I27">
        <v>72767.494000000006</v>
      </c>
      <c r="O27" s="4" t="s">
        <v>570</v>
      </c>
      <c r="P27" s="5">
        <v>96500.993999999992</v>
      </c>
    </row>
    <row r="28" spans="2:17" x14ac:dyDescent="0.3">
      <c r="H28" s="4" t="s">
        <v>33</v>
      </c>
      <c r="I28">
        <v>39237.111999999994</v>
      </c>
      <c r="O28" s="4" t="s">
        <v>571</v>
      </c>
      <c r="P28" s="5">
        <v>98065.645000000004</v>
      </c>
    </row>
    <row r="29" spans="2:17" x14ac:dyDescent="0.3">
      <c r="H29" s="4" t="s">
        <v>13</v>
      </c>
      <c r="I29">
        <v>28566.085999999996</v>
      </c>
      <c r="O29" s="4" t="s">
        <v>572</v>
      </c>
      <c r="P29" s="5">
        <v>71809.449500000002</v>
      </c>
    </row>
    <row r="30" spans="2:17" x14ac:dyDescent="0.3">
      <c r="H30" s="4" t="s">
        <v>24</v>
      </c>
      <c r="I30">
        <v>33551.916499999999</v>
      </c>
      <c r="O30" s="4" t="s">
        <v>573</v>
      </c>
      <c r="P30" s="5">
        <v>81497.725999999995</v>
      </c>
    </row>
    <row r="31" spans="2:17" x14ac:dyDescent="0.3">
      <c r="H31" s="4" t="s">
        <v>28</v>
      </c>
      <c r="I31">
        <v>91092.83199999998</v>
      </c>
      <c r="O31" s="4" t="s">
        <v>574</v>
      </c>
      <c r="P31" s="5">
        <v>109610.52750000001</v>
      </c>
    </row>
    <row r="32" spans="2:17" x14ac:dyDescent="0.3">
      <c r="H32" s="4" t="s">
        <v>81</v>
      </c>
      <c r="I32">
        <v>58020.159000000007</v>
      </c>
      <c r="O32" s="4" t="s">
        <v>575</v>
      </c>
      <c r="P32" s="5">
        <v>137700.11050000001</v>
      </c>
    </row>
    <row r="33" spans="8:16" x14ac:dyDescent="0.3">
      <c r="H33" s="4" t="s">
        <v>55</v>
      </c>
      <c r="I33">
        <v>124975.36700000003</v>
      </c>
      <c r="O33" s="4" t="s">
        <v>561</v>
      </c>
      <c r="P33" s="5">
        <v>1201303.3295</v>
      </c>
    </row>
    <row r="34" spans="8:16" x14ac:dyDescent="0.3">
      <c r="H34" s="4" t="s">
        <v>63</v>
      </c>
      <c r="I34">
        <v>141504.86549999996</v>
      </c>
    </row>
    <row r="35" spans="8:16" x14ac:dyDescent="0.3">
      <c r="H35" s="4" t="s">
        <v>89</v>
      </c>
      <c r="I35">
        <v>51522.358</v>
      </c>
    </row>
    <row r="36" spans="8:16" x14ac:dyDescent="0.3">
      <c r="H36" s="4" t="s">
        <v>561</v>
      </c>
      <c r="I36">
        <v>1201303.3295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0B00E-C2FE-4158-B988-7B514905EF56}">
  <dimension ref="A4"/>
  <sheetViews>
    <sheetView tabSelected="1" zoomScale="85" zoomScaleNormal="85" workbookViewId="0">
      <selection activeCell="N9" sqref="N9"/>
    </sheetView>
  </sheetViews>
  <sheetFormatPr defaultRowHeight="15.6" x14ac:dyDescent="0.3"/>
  <cols>
    <col min="1" max="16384" width="8.88671875" style="7"/>
  </cols>
  <sheetData>
    <row r="4"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B6" sqref="A2:M501"/>
    </sheetView>
  </sheetViews>
  <sheetFormatPr defaultRowHeight="14.4" x14ac:dyDescent="0.3"/>
  <cols>
    <col min="1" max="1" width="10.44140625" customWidth="1"/>
    <col min="2" max="2" width="18.109375" bestFit="1" customWidth="1"/>
    <col min="3" max="3" width="20.44140625" bestFit="1" customWidth="1"/>
    <col min="4" max="4" width="20.33203125" bestFit="1" customWidth="1"/>
    <col min="5" max="5" width="10.6640625" bestFit="1" customWidth="1"/>
    <col min="6" max="6" width="12.21875" bestFit="1" customWidth="1"/>
    <col min="7" max="7" width="15" customWidth="1"/>
    <col min="8" max="8" width="16.109375" customWidth="1"/>
    <col min="9" max="9" width="11.88671875" customWidth="1"/>
    <col min="10" max="10" width="11.5546875" customWidth="1"/>
    <col min="11" max="11" width="17.6640625" customWidth="1"/>
    <col min="12" max="12" width="10.21875" customWidth="1"/>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559</v>
      </c>
    </row>
    <row r="2" spans="1:13" x14ac:dyDescent="0.3">
      <c r="A2" t="s">
        <v>12</v>
      </c>
      <c r="B2" s="1">
        <v>45760</v>
      </c>
      <c r="C2" t="s">
        <v>13</v>
      </c>
      <c r="D2" t="s">
        <v>14</v>
      </c>
      <c r="E2" t="s">
        <v>15</v>
      </c>
      <c r="F2" t="s">
        <v>16</v>
      </c>
      <c r="G2" t="s">
        <v>17</v>
      </c>
      <c r="H2" t="s">
        <v>18</v>
      </c>
      <c r="I2">
        <v>12</v>
      </c>
      <c r="J2">
        <v>58.08</v>
      </c>
      <c r="K2">
        <v>20</v>
      </c>
      <c r="L2">
        <v>557.57000000000005</v>
      </c>
      <c r="M2">
        <f t="shared" ref="M2:M65" si="0">I2*J2*(1-K2/100)</f>
        <v>557.5680000000001</v>
      </c>
    </row>
    <row r="3" spans="1:13" x14ac:dyDescent="0.3">
      <c r="A3" t="s">
        <v>19</v>
      </c>
      <c r="B3" s="1">
        <v>46017</v>
      </c>
      <c r="C3" t="s">
        <v>20</v>
      </c>
      <c r="D3" t="s">
        <v>14</v>
      </c>
      <c r="E3" t="s">
        <v>21</v>
      </c>
      <c r="F3" t="s">
        <v>16</v>
      </c>
      <c r="G3" t="s">
        <v>22</v>
      </c>
      <c r="H3" t="s">
        <v>18</v>
      </c>
      <c r="I3">
        <v>12</v>
      </c>
      <c r="J3">
        <v>155.62</v>
      </c>
      <c r="K3">
        <v>15</v>
      </c>
      <c r="L3">
        <v>1587.32</v>
      </c>
      <c r="M3">
        <f t="shared" si="0"/>
        <v>1587.3240000000001</v>
      </c>
    </row>
    <row r="4" spans="1:13" x14ac:dyDescent="0.3">
      <c r="A4" t="s">
        <v>23</v>
      </c>
      <c r="B4" s="1">
        <v>45849</v>
      </c>
      <c r="C4" t="s">
        <v>24</v>
      </c>
      <c r="D4" t="s">
        <v>14</v>
      </c>
      <c r="E4" t="s">
        <v>21</v>
      </c>
      <c r="F4" t="s">
        <v>16</v>
      </c>
      <c r="G4" t="s">
        <v>25</v>
      </c>
      <c r="H4" t="s">
        <v>26</v>
      </c>
      <c r="I4">
        <v>3</v>
      </c>
      <c r="J4">
        <v>67.89</v>
      </c>
      <c r="K4">
        <v>5</v>
      </c>
      <c r="L4">
        <v>193.49</v>
      </c>
      <c r="M4">
        <f t="shared" si="0"/>
        <v>193.48650000000001</v>
      </c>
    </row>
    <row r="5" spans="1:13" x14ac:dyDescent="0.3">
      <c r="A5" t="s">
        <v>27</v>
      </c>
      <c r="B5" s="1">
        <v>45706</v>
      </c>
      <c r="C5" t="s">
        <v>28</v>
      </c>
      <c r="D5" t="s">
        <v>14</v>
      </c>
      <c r="E5" t="s">
        <v>29</v>
      </c>
      <c r="F5" t="s">
        <v>30</v>
      </c>
      <c r="G5" t="s">
        <v>17</v>
      </c>
      <c r="H5" t="s">
        <v>31</v>
      </c>
      <c r="I5">
        <v>23</v>
      </c>
      <c r="J5">
        <v>189.3</v>
      </c>
      <c r="K5">
        <v>0</v>
      </c>
      <c r="L5">
        <v>4353.8999999999996</v>
      </c>
      <c r="M5">
        <f t="shared" si="0"/>
        <v>4353.9000000000005</v>
      </c>
    </row>
    <row r="6" spans="1:13" x14ac:dyDescent="0.3">
      <c r="A6" t="s">
        <v>32</v>
      </c>
      <c r="B6" s="1">
        <v>46021</v>
      </c>
      <c r="C6" t="s">
        <v>33</v>
      </c>
      <c r="D6" t="s">
        <v>14</v>
      </c>
      <c r="E6" t="s">
        <v>34</v>
      </c>
      <c r="F6" t="s">
        <v>35</v>
      </c>
      <c r="G6" t="s">
        <v>22</v>
      </c>
      <c r="H6" t="s">
        <v>31</v>
      </c>
      <c r="I6">
        <v>29</v>
      </c>
      <c r="J6">
        <v>131.37</v>
      </c>
      <c r="K6">
        <v>10</v>
      </c>
      <c r="L6">
        <v>3428.76</v>
      </c>
      <c r="M6">
        <f t="shared" si="0"/>
        <v>3428.7570000000001</v>
      </c>
    </row>
    <row r="7" spans="1:13" x14ac:dyDescent="0.3">
      <c r="A7" t="s">
        <v>36</v>
      </c>
      <c r="B7" s="1">
        <v>45986</v>
      </c>
      <c r="C7" t="s">
        <v>13</v>
      </c>
      <c r="D7" t="s">
        <v>14</v>
      </c>
      <c r="E7" t="s">
        <v>15</v>
      </c>
      <c r="F7" t="s">
        <v>16</v>
      </c>
      <c r="G7" t="s">
        <v>37</v>
      </c>
      <c r="H7" t="s">
        <v>26</v>
      </c>
      <c r="I7">
        <v>4</v>
      </c>
      <c r="J7">
        <v>58.96</v>
      </c>
      <c r="K7">
        <v>20</v>
      </c>
      <c r="L7">
        <v>188.67</v>
      </c>
      <c r="M7">
        <f t="shared" si="0"/>
        <v>188.67200000000003</v>
      </c>
    </row>
    <row r="8" spans="1:13" x14ac:dyDescent="0.3">
      <c r="A8" t="s">
        <v>38</v>
      </c>
      <c r="B8" s="1">
        <v>45922</v>
      </c>
      <c r="C8" t="s">
        <v>13</v>
      </c>
      <c r="D8" t="s">
        <v>14</v>
      </c>
      <c r="E8" t="s">
        <v>39</v>
      </c>
      <c r="F8" t="s">
        <v>39</v>
      </c>
      <c r="G8" t="s">
        <v>37</v>
      </c>
      <c r="H8" t="s">
        <v>26</v>
      </c>
      <c r="I8">
        <v>29</v>
      </c>
      <c r="J8">
        <v>55.7</v>
      </c>
      <c r="K8">
        <v>5</v>
      </c>
      <c r="L8">
        <v>1534.54</v>
      </c>
      <c r="M8">
        <f t="shared" si="0"/>
        <v>1534.5350000000001</v>
      </c>
    </row>
    <row r="9" spans="1:13" x14ac:dyDescent="0.3">
      <c r="A9" t="s">
        <v>40</v>
      </c>
      <c r="B9" s="1">
        <v>45921</v>
      </c>
      <c r="C9" t="s">
        <v>20</v>
      </c>
      <c r="D9" t="s">
        <v>14</v>
      </c>
      <c r="E9" t="s">
        <v>29</v>
      </c>
      <c r="F9" t="s">
        <v>30</v>
      </c>
      <c r="G9" t="s">
        <v>25</v>
      </c>
      <c r="H9" t="s">
        <v>18</v>
      </c>
      <c r="I9">
        <v>29</v>
      </c>
      <c r="J9">
        <v>134.04</v>
      </c>
      <c r="K9">
        <v>20</v>
      </c>
      <c r="L9">
        <v>3109.73</v>
      </c>
      <c r="M9">
        <f t="shared" si="0"/>
        <v>3109.7280000000001</v>
      </c>
    </row>
    <row r="10" spans="1:13" x14ac:dyDescent="0.3">
      <c r="A10" t="s">
        <v>41</v>
      </c>
      <c r="B10" s="1">
        <v>45659</v>
      </c>
      <c r="C10" t="s">
        <v>42</v>
      </c>
      <c r="D10" t="s">
        <v>43</v>
      </c>
      <c r="E10" t="s">
        <v>21</v>
      </c>
      <c r="F10" t="s">
        <v>16</v>
      </c>
      <c r="G10" t="s">
        <v>25</v>
      </c>
      <c r="H10" t="s">
        <v>26</v>
      </c>
      <c r="I10">
        <v>5</v>
      </c>
      <c r="J10">
        <v>140.47</v>
      </c>
      <c r="K10">
        <v>15</v>
      </c>
      <c r="L10">
        <v>597</v>
      </c>
      <c r="M10">
        <f t="shared" si="0"/>
        <v>596.99750000000006</v>
      </c>
    </row>
    <row r="11" spans="1:13" x14ac:dyDescent="0.3">
      <c r="A11" t="s">
        <v>44</v>
      </c>
      <c r="B11" s="1">
        <v>45875</v>
      </c>
      <c r="C11" t="s">
        <v>45</v>
      </c>
      <c r="D11" t="s">
        <v>46</v>
      </c>
      <c r="E11" t="s">
        <v>47</v>
      </c>
      <c r="F11" t="s">
        <v>48</v>
      </c>
      <c r="G11" t="s">
        <v>25</v>
      </c>
      <c r="H11" t="s">
        <v>31</v>
      </c>
      <c r="I11">
        <v>5</v>
      </c>
      <c r="J11">
        <v>271.72000000000003</v>
      </c>
      <c r="K11">
        <v>5</v>
      </c>
      <c r="L11">
        <v>1290.67</v>
      </c>
      <c r="M11">
        <f t="shared" si="0"/>
        <v>1290.67</v>
      </c>
    </row>
    <row r="12" spans="1:13" x14ac:dyDescent="0.3">
      <c r="A12" t="s">
        <v>49</v>
      </c>
      <c r="B12" s="1">
        <v>45847</v>
      </c>
      <c r="C12" t="s">
        <v>28</v>
      </c>
      <c r="D12" t="s">
        <v>14</v>
      </c>
      <c r="E12" t="s">
        <v>39</v>
      </c>
      <c r="F12" t="s">
        <v>39</v>
      </c>
      <c r="G12" t="s">
        <v>25</v>
      </c>
      <c r="H12" t="s">
        <v>31</v>
      </c>
      <c r="I12">
        <v>5</v>
      </c>
      <c r="J12">
        <v>214.11</v>
      </c>
      <c r="K12">
        <v>15</v>
      </c>
      <c r="L12">
        <v>909.97</v>
      </c>
      <c r="M12">
        <f t="shared" si="0"/>
        <v>909.96750000000009</v>
      </c>
    </row>
    <row r="13" spans="1:13" x14ac:dyDescent="0.3">
      <c r="A13" t="s">
        <v>50</v>
      </c>
      <c r="B13" s="1">
        <v>45874</v>
      </c>
      <c r="C13" t="s">
        <v>24</v>
      </c>
      <c r="D13" t="s">
        <v>14</v>
      </c>
      <c r="E13" t="s">
        <v>29</v>
      </c>
      <c r="F13" t="s">
        <v>30</v>
      </c>
      <c r="G13" t="s">
        <v>37</v>
      </c>
      <c r="H13" t="s">
        <v>26</v>
      </c>
      <c r="I13">
        <v>19</v>
      </c>
      <c r="J13">
        <v>65.52</v>
      </c>
      <c r="K13">
        <v>5</v>
      </c>
      <c r="L13">
        <v>1182.6400000000001</v>
      </c>
      <c r="M13">
        <f t="shared" si="0"/>
        <v>1182.6359999999997</v>
      </c>
    </row>
    <row r="14" spans="1:13" x14ac:dyDescent="0.3">
      <c r="A14" t="s">
        <v>51</v>
      </c>
      <c r="B14" s="1">
        <v>45722</v>
      </c>
      <c r="C14" t="s">
        <v>28</v>
      </c>
      <c r="D14" t="s">
        <v>14</v>
      </c>
      <c r="E14" t="s">
        <v>52</v>
      </c>
      <c r="F14" t="s">
        <v>53</v>
      </c>
      <c r="G14" t="s">
        <v>37</v>
      </c>
      <c r="H14" t="s">
        <v>26</v>
      </c>
      <c r="I14">
        <v>10</v>
      </c>
      <c r="J14">
        <v>201.44</v>
      </c>
      <c r="K14">
        <v>20</v>
      </c>
      <c r="L14">
        <v>1611.52</v>
      </c>
      <c r="M14">
        <f t="shared" si="0"/>
        <v>1611.5200000000002</v>
      </c>
    </row>
    <row r="15" spans="1:13" x14ac:dyDescent="0.3">
      <c r="A15" t="s">
        <v>54</v>
      </c>
      <c r="B15" s="1">
        <v>45738</v>
      </c>
      <c r="C15" t="s">
        <v>55</v>
      </c>
      <c r="D15" t="s">
        <v>14</v>
      </c>
      <c r="E15" t="s">
        <v>56</v>
      </c>
      <c r="F15" t="s">
        <v>48</v>
      </c>
      <c r="G15" t="s">
        <v>17</v>
      </c>
      <c r="H15" t="s">
        <v>26</v>
      </c>
      <c r="I15">
        <v>13</v>
      </c>
      <c r="J15">
        <v>172.57</v>
      </c>
      <c r="K15">
        <v>10</v>
      </c>
      <c r="L15">
        <v>2019.07</v>
      </c>
      <c r="M15">
        <f t="shared" si="0"/>
        <v>2019.069</v>
      </c>
    </row>
    <row r="16" spans="1:13" x14ac:dyDescent="0.3">
      <c r="A16" t="s">
        <v>57</v>
      </c>
      <c r="B16" s="1">
        <v>45698</v>
      </c>
      <c r="C16" t="s">
        <v>24</v>
      </c>
      <c r="D16" t="s">
        <v>14</v>
      </c>
      <c r="E16" t="s">
        <v>21</v>
      </c>
      <c r="F16" t="s">
        <v>16</v>
      </c>
      <c r="G16" t="s">
        <v>22</v>
      </c>
      <c r="H16" t="s">
        <v>26</v>
      </c>
      <c r="I16">
        <v>28</v>
      </c>
      <c r="J16">
        <v>59.46</v>
      </c>
      <c r="K16">
        <v>5</v>
      </c>
      <c r="L16">
        <v>1581.64</v>
      </c>
      <c r="M16">
        <f t="shared" si="0"/>
        <v>1581.636</v>
      </c>
    </row>
    <row r="17" spans="1:13" x14ac:dyDescent="0.3">
      <c r="A17" t="s">
        <v>58</v>
      </c>
      <c r="B17" s="1">
        <v>45756</v>
      </c>
      <c r="C17" t="s">
        <v>28</v>
      </c>
      <c r="D17" t="s">
        <v>14</v>
      </c>
      <c r="E17" t="s">
        <v>56</v>
      </c>
      <c r="F17" t="s">
        <v>48</v>
      </c>
      <c r="G17" t="s">
        <v>17</v>
      </c>
      <c r="H17" t="s">
        <v>31</v>
      </c>
      <c r="I17">
        <v>2</v>
      </c>
      <c r="J17">
        <v>191.67</v>
      </c>
      <c r="K17">
        <v>20</v>
      </c>
      <c r="L17">
        <v>306.67</v>
      </c>
      <c r="M17">
        <f t="shared" si="0"/>
        <v>306.67199999999997</v>
      </c>
    </row>
    <row r="18" spans="1:13" x14ac:dyDescent="0.3">
      <c r="A18" t="s">
        <v>59</v>
      </c>
      <c r="B18" s="1">
        <v>45788</v>
      </c>
      <c r="C18" t="s">
        <v>28</v>
      </c>
      <c r="D18" t="s">
        <v>14</v>
      </c>
      <c r="E18" t="s">
        <v>60</v>
      </c>
      <c r="F18" t="s">
        <v>61</v>
      </c>
      <c r="G18" t="s">
        <v>25</v>
      </c>
      <c r="H18" t="s">
        <v>18</v>
      </c>
      <c r="I18">
        <v>4</v>
      </c>
      <c r="J18">
        <v>208.83</v>
      </c>
      <c r="K18">
        <v>20</v>
      </c>
      <c r="L18">
        <v>668.26</v>
      </c>
      <c r="M18">
        <f t="shared" si="0"/>
        <v>668.25600000000009</v>
      </c>
    </row>
    <row r="19" spans="1:13" x14ac:dyDescent="0.3">
      <c r="A19" t="s">
        <v>62</v>
      </c>
      <c r="B19" s="1">
        <v>45864</v>
      </c>
      <c r="C19" t="s">
        <v>63</v>
      </c>
      <c r="D19" t="s">
        <v>64</v>
      </c>
      <c r="E19" t="s">
        <v>29</v>
      </c>
      <c r="F19" t="s">
        <v>30</v>
      </c>
      <c r="G19" t="s">
        <v>25</v>
      </c>
      <c r="H19" t="s">
        <v>18</v>
      </c>
      <c r="I19">
        <v>15</v>
      </c>
      <c r="J19">
        <v>279.64999999999998</v>
      </c>
      <c r="K19">
        <v>0</v>
      </c>
      <c r="L19">
        <v>4194.75</v>
      </c>
      <c r="M19">
        <f t="shared" si="0"/>
        <v>4194.75</v>
      </c>
    </row>
    <row r="20" spans="1:13" x14ac:dyDescent="0.3">
      <c r="A20" t="s">
        <v>65</v>
      </c>
      <c r="B20" s="1">
        <v>45709</v>
      </c>
      <c r="C20" t="s">
        <v>42</v>
      </c>
      <c r="D20" t="s">
        <v>43</v>
      </c>
      <c r="E20" t="s">
        <v>66</v>
      </c>
      <c r="F20" t="s">
        <v>67</v>
      </c>
      <c r="G20" t="s">
        <v>25</v>
      </c>
      <c r="H20" t="s">
        <v>26</v>
      </c>
      <c r="I20">
        <v>20</v>
      </c>
      <c r="J20">
        <v>135.94</v>
      </c>
      <c r="K20">
        <v>0</v>
      </c>
      <c r="L20">
        <v>2718.8</v>
      </c>
      <c r="M20">
        <f t="shared" si="0"/>
        <v>2718.8</v>
      </c>
    </row>
    <row r="21" spans="1:13" x14ac:dyDescent="0.3">
      <c r="A21" t="s">
        <v>68</v>
      </c>
      <c r="B21" s="1">
        <v>45686</v>
      </c>
      <c r="C21" t="s">
        <v>69</v>
      </c>
      <c r="D21" t="s">
        <v>46</v>
      </c>
      <c r="E21" t="s">
        <v>15</v>
      </c>
      <c r="F21" t="s">
        <v>16</v>
      </c>
      <c r="G21" t="s">
        <v>25</v>
      </c>
      <c r="H21" t="s">
        <v>26</v>
      </c>
      <c r="I21">
        <v>24</v>
      </c>
      <c r="J21">
        <v>316.47000000000003</v>
      </c>
      <c r="K21">
        <v>10</v>
      </c>
      <c r="L21">
        <v>6835.75</v>
      </c>
      <c r="M21">
        <f t="shared" si="0"/>
        <v>6835.7520000000004</v>
      </c>
    </row>
    <row r="22" spans="1:13" x14ac:dyDescent="0.3">
      <c r="A22" t="s">
        <v>70</v>
      </c>
      <c r="B22" s="1">
        <v>45702</v>
      </c>
      <c r="C22" t="s">
        <v>71</v>
      </c>
      <c r="D22" t="s">
        <v>64</v>
      </c>
      <c r="E22" t="s">
        <v>56</v>
      </c>
      <c r="F22" t="s">
        <v>48</v>
      </c>
      <c r="G22" t="s">
        <v>22</v>
      </c>
      <c r="H22" t="s">
        <v>18</v>
      </c>
      <c r="I22">
        <v>23</v>
      </c>
      <c r="J22">
        <v>161.41</v>
      </c>
      <c r="K22">
        <v>5</v>
      </c>
      <c r="L22">
        <v>3526.81</v>
      </c>
      <c r="M22">
        <f t="shared" si="0"/>
        <v>3526.8084999999996</v>
      </c>
    </row>
    <row r="23" spans="1:13" x14ac:dyDescent="0.3">
      <c r="A23" t="s">
        <v>72</v>
      </c>
      <c r="B23" s="1">
        <v>45997</v>
      </c>
      <c r="C23" t="s">
        <v>45</v>
      </c>
      <c r="D23" t="s">
        <v>46</v>
      </c>
      <c r="E23" t="s">
        <v>73</v>
      </c>
      <c r="F23" t="s">
        <v>74</v>
      </c>
      <c r="G23" t="s">
        <v>17</v>
      </c>
      <c r="H23" t="s">
        <v>31</v>
      </c>
      <c r="I23">
        <v>29</v>
      </c>
      <c r="J23">
        <v>307.61</v>
      </c>
      <c r="K23">
        <v>15</v>
      </c>
      <c r="L23">
        <v>7582.59</v>
      </c>
      <c r="M23">
        <f t="shared" si="0"/>
        <v>7582.5865000000003</v>
      </c>
    </row>
    <row r="24" spans="1:13" x14ac:dyDescent="0.3">
      <c r="A24" t="s">
        <v>75</v>
      </c>
      <c r="B24" s="1">
        <v>45940</v>
      </c>
      <c r="C24" t="s">
        <v>45</v>
      </c>
      <c r="D24" t="s">
        <v>46</v>
      </c>
      <c r="E24" t="s">
        <v>34</v>
      </c>
      <c r="F24" t="s">
        <v>35</v>
      </c>
      <c r="G24" t="s">
        <v>37</v>
      </c>
      <c r="H24" t="s">
        <v>31</v>
      </c>
      <c r="I24">
        <v>24</v>
      </c>
      <c r="J24">
        <v>312.97000000000003</v>
      </c>
      <c r="K24">
        <v>0</v>
      </c>
      <c r="L24">
        <v>7511.28</v>
      </c>
      <c r="M24">
        <f t="shared" si="0"/>
        <v>7511.2800000000007</v>
      </c>
    </row>
    <row r="25" spans="1:13" x14ac:dyDescent="0.3">
      <c r="A25" t="s">
        <v>76</v>
      </c>
      <c r="B25" s="1">
        <v>45794</v>
      </c>
      <c r="C25" t="s">
        <v>45</v>
      </c>
      <c r="D25" t="s">
        <v>46</v>
      </c>
      <c r="E25" t="s">
        <v>73</v>
      </c>
      <c r="F25" t="s">
        <v>74</v>
      </c>
      <c r="G25" t="s">
        <v>37</v>
      </c>
      <c r="H25" t="s">
        <v>26</v>
      </c>
      <c r="I25">
        <v>10</v>
      </c>
      <c r="J25">
        <v>278.68</v>
      </c>
      <c r="K25">
        <v>10</v>
      </c>
      <c r="L25">
        <v>2508.12</v>
      </c>
      <c r="M25">
        <f t="shared" si="0"/>
        <v>2508.1200000000003</v>
      </c>
    </row>
    <row r="26" spans="1:13" x14ac:dyDescent="0.3">
      <c r="A26" t="s">
        <v>77</v>
      </c>
      <c r="B26" s="1">
        <v>45817</v>
      </c>
      <c r="C26" t="s">
        <v>45</v>
      </c>
      <c r="D26" t="s">
        <v>46</v>
      </c>
      <c r="E26" t="s">
        <v>29</v>
      </c>
      <c r="F26" t="s">
        <v>30</v>
      </c>
      <c r="G26" t="s">
        <v>17</v>
      </c>
      <c r="H26" t="s">
        <v>18</v>
      </c>
      <c r="I26">
        <v>11</v>
      </c>
      <c r="J26">
        <v>280.58</v>
      </c>
      <c r="K26">
        <v>10</v>
      </c>
      <c r="L26">
        <v>2777.74</v>
      </c>
      <c r="M26">
        <f t="shared" si="0"/>
        <v>2777.7419999999997</v>
      </c>
    </row>
    <row r="27" spans="1:13" x14ac:dyDescent="0.3">
      <c r="A27" t="s">
        <v>78</v>
      </c>
      <c r="B27" s="1">
        <v>45952</v>
      </c>
      <c r="C27" t="s">
        <v>79</v>
      </c>
      <c r="D27" t="s">
        <v>43</v>
      </c>
      <c r="E27" t="s">
        <v>60</v>
      </c>
      <c r="F27" t="s">
        <v>61</v>
      </c>
      <c r="G27" t="s">
        <v>17</v>
      </c>
      <c r="H27" t="s">
        <v>26</v>
      </c>
      <c r="I27">
        <v>18</v>
      </c>
      <c r="J27">
        <v>228.19</v>
      </c>
      <c r="K27">
        <v>15</v>
      </c>
      <c r="L27">
        <v>3491.31</v>
      </c>
      <c r="M27">
        <f t="shared" si="0"/>
        <v>3491.3069999999998</v>
      </c>
    </row>
    <row r="28" spans="1:13" x14ac:dyDescent="0.3">
      <c r="A28" t="s">
        <v>80</v>
      </c>
      <c r="B28" s="1">
        <v>45770</v>
      </c>
      <c r="C28" t="s">
        <v>81</v>
      </c>
      <c r="D28" t="s">
        <v>64</v>
      </c>
      <c r="E28" t="s">
        <v>21</v>
      </c>
      <c r="F28" t="s">
        <v>16</v>
      </c>
      <c r="G28" t="s">
        <v>17</v>
      </c>
      <c r="H28" t="s">
        <v>26</v>
      </c>
      <c r="I28">
        <v>18</v>
      </c>
      <c r="J28">
        <v>131.94999999999999</v>
      </c>
      <c r="K28">
        <v>10</v>
      </c>
      <c r="L28">
        <v>2137.59</v>
      </c>
      <c r="M28">
        <f t="shared" si="0"/>
        <v>2137.59</v>
      </c>
    </row>
    <row r="29" spans="1:13" x14ac:dyDescent="0.3">
      <c r="A29" t="s">
        <v>82</v>
      </c>
      <c r="B29" s="1">
        <v>45783</v>
      </c>
      <c r="C29" t="s">
        <v>81</v>
      </c>
      <c r="D29" t="s">
        <v>64</v>
      </c>
      <c r="E29" t="s">
        <v>39</v>
      </c>
      <c r="F29" t="s">
        <v>39</v>
      </c>
      <c r="G29" t="s">
        <v>37</v>
      </c>
      <c r="H29" t="s">
        <v>31</v>
      </c>
      <c r="I29">
        <v>24</v>
      </c>
      <c r="J29">
        <v>114.69</v>
      </c>
      <c r="K29">
        <v>0</v>
      </c>
      <c r="L29">
        <v>2752.56</v>
      </c>
      <c r="M29">
        <f t="shared" si="0"/>
        <v>2752.56</v>
      </c>
    </row>
    <row r="30" spans="1:13" x14ac:dyDescent="0.3">
      <c r="A30" t="s">
        <v>83</v>
      </c>
      <c r="B30" s="1">
        <v>45860</v>
      </c>
      <c r="C30" t="s">
        <v>81</v>
      </c>
      <c r="D30" t="s">
        <v>64</v>
      </c>
      <c r="E30" t="s">
        <v>29</v>
      </c>
      <c r="F30" t="s">
        <v>30</v>
      </c>
      <c r="G30" t="s">
        <v>37</v>
      </c>
      <c r="H30" t="s">
        <v>31</v>
      </c>
      <c r="I30">
        <v>7</v>
      </c>
      <c r="J30">
        <v>113.81</v>
      </c>
      <c r="K30">
        <v>15</v>
      </c>
      <c r="L30">
        <v>677.17</v>
      </c>
      <c r="M30">
        <f t="shared" si="0"/>
        <v>677.16950000000008</v>
      </c>
    </row>
    <row r="31" spans="1:13" x14ac:dyDescent="0.3">
      <c r="A31" t="s">
        <v>84</v>
      </c>
      <c r="B31" s="1">
        <v>45755</v>
      </c>
      <c r="C31" t="s">
        <v>24</v>
      </c>
      <c r="D31" t="s">
        <v>14</v>
      </c>
      <c r="E31" t="s">
        <v>34</v>
      </c>
      <c r="F31" t="s">
        <v>35</v>
      </c>
      <c r="G31" t="s">
        <v>17</v>
      </c>
      <c r="H31" t="s">
        <v>18</v>
      </c>
      <c r="I31">
        <v>7</v>
      </c>
      <c r="J31">
        <v>63.28</v>
      </c>
      <c r="K31">
        <v>15</v>
      </c>
      <c r="L31">
        <v>376.52</v>
      </c>
      <c r="M31">
        <f t="shared" si="0"/>
        <v>376.51600000000002</v>
      </c>
    </row>
    <row r="32" spans="1:13" x14ac:dyDescent="0.3">
      <c r="A32" t="s">
        <v>85</v>
      </c>
      <c r="B32" s="1">
        <v>45781</v>
      </c>
      <c r="C32" t="s">
        <v>86</v>
      </c>
      <c r="D32" t="s">
        <v>14</v>
      </c>
      <c r="E32" t="s">
        <v>47</v>
      </c>
      <c r="F32" t="s">
        <v>48</v>
      </c>
      <c r="G32" t="s">
        <v>22</v>
      </c>
      <c r="H32" t="s">
        <v>18</v>
      </c>
      <c r="I32">
        <v>17</v>
      </c>
      <c r="J32">
        <v>79.48</v>
      </c>
      <c r="K32">
        <v>0</v>
      </c>
      <c r="L32">
        <v>1351.16</v>
      </c>
      <c r="M32">
        <f t="shared" si="0"/>
        <v>1351.16</v>
      </c>
    </row>
    <row r="33" spans="1:13" x14ac:dyDescent="0.3">
      <c r="A33" t="s">
        <v>87</v>
      </c>
      <c r="B33" s="1">
        <v>46003</v>
      </c>
      <c r="C33" t="s">
        <v>33</v>
      </c>
      <c r="D33" t="s">
        <v>14</v>
      </c>
      <c r="E33" t="s">
        <v>47</v>
      </c>
      <c r="F33" t="s">
        <v>48</v>
      </c>
      <c r="G33" t="s">
        <v>37</v>
      </c>
      <c r="H33" t="s">
        <v>26</v>
      </c>
      <c r="I33">
        <v>4</v>
      </c>
      <c r="J33">
        <v>122.18</v>
      </c>
      <c r="K33">
        <v>10</v>
      </c>
      <c r="L33">
        <v>439.85</v>
      </c>
      <c r="M33">
        <f t="shared" si="0"/>
        <v>439.84800000000001</v>
      </c>
    </row>
    <row r="34" spans="1:13" x14ac:dyDescent="0.3">
      <c r="A34" t="s">
        <v>88</v>
      </c>
      <c r="B34" s="1">
        <v>46017</v>
      </c>
      <c r="C34" t="s">
        <v>89</v>
      </c>
      <c r="D34" t="s">
        <v>64</v>
      </c>
      <c r="E34" t="s">
        <v>21</v>
      </c>
      <c r="F34" t="s">
        <v>16</v>
      </c>
      <c r="G34" t="s">
        <v>37</v>
      </c>
      <c r="H34" t="s">
        <v>18</v>
      </c>
      <c r="I34">
        <v>21</v>
      </c>
      <c r="J34">
        <v>119.69</v>
      </c>
      <c r="K34">
        <v>5</v>
      </c>
      <c r="L34">
        <v>2387.8200000000002</v>
      </c>
      <c r="M34">
        <f t="shared" si="0"/>
        <v>2387.8154999999997</v>
      </c>
    </row>
    <row r="35" spans="1:13" x14ac:dyDescent="0.3">
      <c r="A35" t="s">
        <v>90</v>
      </c>
      <c r="B35" s="1">
        <v>45756</v>
      </c>
      <c r="C35" t="s">
        <v>63</v>
      </c>
      <c r="D35" t="s">
        <v>64</v>
      </c>
      <c r="E35" t="s">
        <v>34</v>
      </c>
      <c r="F35" t="s">
        <v>35</v>
      </c>
      <c r="G35" t="s">
        <v>37</v>
      </c>
      <c r="H35" t="s">
        <v>26</v>
      </c>
      <c r="I35">
        <v>26</v>
      </c>
      <c r="J35">
        <v>263.70999999999998</v>
      </c>
      <c r="K35">
        <v>5</v>
      </c>
      <c r="L35">
        <v>6513.64</v>
      </c>
      <c r="M35">
        <f t="shared" si="0"/>
        <v>6513.6369999999988</v>
      </c>
    </row>
    <row r="36" spans="1:13" x14ac:dyDescent="0.3">
      <c r="A36" t="s">
        <v>91</v>
      </c>
      <c r="B36" s="1">
        <v>45659</v>
      </c>
      <c r="C36" t="s">
        <v>13</v>
      </c>
      <c r="D36" t="s">
        <v>14</v>
      </c>
      <c r="E36" t="s">
        <v>52</v>
      </c>
      <c r="F36" t="s">
        <v>53</v>
      </c>
      <c r="G36" t="s">
        <v>37</v>
      </c>
      <c r="H36" t="s">
        <v>31</v>
      </c>
      <c r="I36">
        <v>17</v>
      </c>
      <c r="J36">
        <v>55.61</v>
      </c>
      <c r="K36">
        <v>15</v>
      </c>
      <c r="L36">
        <v>803.56</v>
      </c>
      <c r="M36">
        <f t="shared" si="0"/>
        <v>803.56449999999995</v>
      </c>
    </row>
    <row r="37" spans="1:13" x14ac:dyDescent="0.3">
      <c r="A37" t="s">
        <v>92</v>
      </c>
      <c r="B37" s="1">
        <v>45756</v>
      </c>
      <c r="C37" t="s">
        <v>63</v>
      </c>
      <c r="D37" t="s">
        <v>64</v>
      </c>
      <c r="E37" t="s">
        <v>52</v>
      </c>
      <c r="F37" t="s">
        <v>53</v>
      </c>
      <c r="G37" t="s">
        <v>17</v>
      </c>
      <c r="H37" t="s">
        <v>26</v>
      </c>
      <c r="I37">
        <v>28</v>
      </c>
      <c r="J37">
        <v>262.57</v>
      </c>
      <c r="K37">
        <v>0</v>
      </c>
      <c r="L37">
        <v>7351.96</v>
      </c>
      <c r="M37">
        <f t="shared" si="0"/>
        <v>7351.96</v>
      </c>
    </row>
    <row r="38" spans="1:13" x14ac:dyDescent="0.3">
      <c r="A38" t="s">
        <v>93</v>
      </c>
      <c r="B38" s="1">
        <v>45732</v>
      </c>
      <c r="C38" t="s">
        <v>89</v>
      </c>
      <c r="D38" t="s">
        <v>64</v>
      </c>
      <c r="E38" t="s">
        <v>21</v>
      </c>
      <c r="F38" t="s">
        <v>16</v>
      </c>
      <c r="G38" t="s">
        <v>37</v>
      </c>
      <c r="H38" t="s">
        <v>31</v>
      </c>
      <c r="I38">
        <v>25</v>
      </c>
      <c r="J38">
        <v>118.53</v>
      </c>
      <c r="K38">
        <v>15</v>
      </c>
      <c r="L38">
        <v>2518.7600000000002</v>
      </c>
      <c r="M38">
        <f t="shared" si="0"/>
        <v>2518.7624999999998</v>
      </c>
    </row>
    <row r="39" spans="1:13" x14ac:dyDescent="0.3">
      <c r="A39" t="s">
        <v>94</v>
      </c>
      <c r="B39" s="1">
        <v>45769</v>
      </c>
      <c r="C39" t="s">
        <v>63</v>
      </c>
      <c r="D39" t="s">
        <v>64</v>
      </c>
      <c r="E39" t="s">
        <v>60</v>
      </c>
      <c r="F39" t="s">
        <v>61</v>
      </c>
      <c r="G39" t="s">
        <v>37</v>
      </c>
      <c r="H39" t="s">
        <v>31</v>
      </c>
      <c r="I39">
        <v>9</v>
      </c>
      <c r="J39">
        <v>285.95999999999998</v>
      </c>
      <c r="K39">
        <v>10</v>
      </c>
      <c r="L39">
        <v>2316.2800000000002</v>
      </c>
      <c r="M39">
        <f t="shared" si="0"/>
        <v>2316.2759999999998</v>
      </c>
    </row>
    <row r="40" spans="1:13" x14ac:dyDescent="0.3">
      <c r="A40" t="s">
        <v>95</v>
      </c>
      <c r="B40" s="1">
        <v>45851</v>
      </c>
      <c r="C40" t="s">
        <v>45</v>
      </c>
      <c r="D40" t="s">
        <v>46</v>
      </c>
      <c r="E40" t="s">
        <v>73</v>
      </c>
      <c r="F40" t="s">
        <v>74</v>
      </c>
      <c r="G40" t="s">
        <v>22</v>
      </c>
      <c r="H40" t="s">
        <v>26</v>
      </c>
      <c r="I40">
        <v>30</v>
      </c>
      <c r="J40">
        <v>277.47000000000003</v>
      </c>
      <c r="K40">
        <v>5</v>
      </c>
      <c r="L40">
        <v>7907.9</v>
      </c>
      <c r="M40">
        <f t="shared" si="0"/>
        <v>7907.8949999999995</v>
      </c>
    </row>
    <row r="41" spans="1:13" x14ac:dyDescent="0.3">
      <c r="A41" t="s">
        <v>96</v>
      </c>
      <c r="B41" s="1">
        <v>45946</v>
      </c>
      <c r="C41" t="s">
        <v>86</v>
      </c>
      <c r="D41" t="s">
        <v>14</v>
      </c>
      <c r="E41" t="s">
        <v>21</v>
      </c>
      <c r="F41" t="s">
        <v>16</v>
      </c>
      <c r="G41" t="s">
        <v>37</v>
      </c>
      <c r="H41" t="s">
        <v>26</v>
      </c>
      <c r="I41">
        <v>10</v>
      </c>
      <c r="J41">
        <v>70.14</v>
      </c>
      <c r="K41">
        <v>15</v>
      </c>
      <c r="L41">
        <v>596.19000000000005</v>
      </c>
      <c r="M41">
        <f t="shared" si="0"/>
        <v>596.18999999999994</v>
      </c>
    </row>
    <row r="42" spans="1:13" x14ac:dyDescent="0.3">
      <c r="A42" t="s">
        <v>97</v>
      </c>
      <c r="B42" s="1">
        <v>45833</v>
      </c>
      <c r="C42" t="s">
        <v>45</v>
      </c>
      <c r="D42" t="s">
        <v>46</v>
      </c>
      <c r="E42" t="s">
        <v>29</v>
      </c>
      <c r="F42" t="s">
        <v>30</v>
      </c>
      <c r="G42" t="s">
        <v>37</v>
      </c>
      <c r="H42" t="s">
        <v>18</v>
      </c>
      <c r="I42">
        <v>4</v>
      </c>
      <c r="J42">
        <v>299.14</v>
      </c>
      <c r="K42">
        <v>0</v>
      </c>
      <c r="L42">
        <v>1196.56</v>
      </c>
      <c r="M42">
        <f t="shared" si="0"/>
        <v>1196.56</v>
      </c>
    </row>
    <row r="43" spans="1:13" x14ac:dyDescent="0.3">
      <c r="A43" t="s">
        <v>98</v>
      </c>
      <c r="B43" s="1">
        <v>45708</v>
      </c>
      <c r="C43" t="s">
        <v>28</v>
      </c>
      <c r="D43" t="s">
        <v>14</v>
      </c>
      <c r="E43" t="s">
        <v>34</v>
      </c>
      <c r="F43" t="s">
        <v>35</v>
      </c>
      <c r="G43" t="s">
        <v>22</v>
      </c>
      <c r="H43" t="s">
        <v>31</v>
      </c>
      <c r="I43">
        <v>24</v>
      </c>
      <c r="J43">
        <v>199.52</v>
      </c>
      <c r="K43">
        <v>20</v>
      </c>
      <c r="L43">
        <v>3830.78</v>
      </c>
      <c r="M43">
        <f t="shared" si="0"/>
        <v>3830.7840000000006</v>
      </c>
    </row>
    <row r="44" spans="1:13" x14ac:dyDescent="0.3">
      <c r="A44" t="s">
        <v>99</v>
      </c>
      <c r="B44" s="1">
        <v>45941</v>
      </c>
      <c r="C44" t="s">
        <v>86</v>
      </c>
      <c r="D44" t="s">
        <v>14</v>
      </c>
      <c r="E44" t="s">
        <v>60</v>
      </c>
      <c r="F44" t="s">
        <v>61</v>
      </c>
      <c r="G44" t="s">
        <v>22</v>
      </c>
      <c r="H44" t="s">
        <v>18</v>
      </c>
      <c r="I44">
        <v>3</v>
      </c>
      <c r="J44">
        <v>72.75</v>
      </c>
      <c r="K44">
        <v>0</v>
      </c>
      <c r="L44">
        <v>218.25</v>
      </c>
      <c r="M44">
        <f t="shared" si="0"/>
        <v>218.25</v>
      </c>
    </row>
    <row r="45" spans="1:13" x14ac:dyDescent="0.3">
      <c r="A45" t="s">
        <v>100</v>
      </c>
      <c r="B45" s="1">
        <v>45849</v>
      </c>
      <c r="C45" t="s">
        <v>42</v>
      </c>
      <c r="D45" t="s">
        <v>43</v>
      </c>
      <c r="E45" t="s">
        <v>101</v>
      </c>
      <c r="F45" t="s">
        <v>16</v>
      </c>
      <c r="G45" t="s">
        <v>17</v>
      </c>
      <c r="H45" t="s">
        <v>26</v>
      </c>
      <c r="I45">
        <v>17</v>
      </c>
      <c r="J45">
        <v>143.41999999999999</v>
      </c>
      <c r="K45">
        <v>10</v>
      </c>
      <c r="L45">
        <v>2194.33</v>
      </c>
      <c r="M45">
        <f t="shared" si="0"/>
        <v>2194.326</v>
      </c>
    </row>
    <row r="46" spans="1:13" x14ac:dyDescent="0.3">
      <c r="A46" t="s">
        <v>102</v>
      </c>
      <c r="B46" s="1">
        <v>45890</v>
      </c>
      <c r="C46" t="s">
        <v>63</v>
      </c>
      <c r="D46" t="s">
        <v>64</v>
      </c>
      <c r="E46" t="s">
        <v>101</v>
      </c>
      <c r="F46" t="s">
        <v>16</v>
      </c>
      <c r="G46" t="s">
        <v>37</v>
      </c>
      <c r="H46" t="s">
        <v>31</v>
      </c>
      <c r="I46">
        <v>30</v>
      </c>
      <c r="J46">
        <v>267.66000000000003</v>
      </c>
      <c r="K46">
        <v>10</v>
      </c>
      <c r="L46">
        <v>7226.82</v>
      </c>
      <c r="M46">
        <f t="shared" si="0"/>
        <v>7226.8200000000015</v>
      </c>
    </row>
    <row r="47" spans="1:13" x14ac:dyDescent="0.3">
      <c r="A47" t="s">
        <v>103</v>
      </c>
      <c r="B47" s="1">
        <v>45845</v>
      </c>
      <c r="C47" t="s">
        <v>104</v>
      </c>
      <c r="D47" t="s">
        <v>14</v>
      </c>
      <c r="E47" t="s">
        <v>60</v>
      </c>
      <c r="F47" t="s">
        <v>61</v>
      </c>
      <c r="G47" t="s">
        <v>17</v>
      </c>
      <c r="H47" t="s">
        <v>26</v>
      </c>
      <c r="I47">
        <v>15</v>
      </c>
      <c r="J47">
        <v>240.53</v>
      </c>
      <c r="K47">
        <v>10</v>
      </c>
      <c r="L47">
        <v>3247.16</v>
      </c>
      <c r="M47">
        <f t="shared" si="0"/>
        <v>3247.1549999999997</v>
      </c>
    </row>
    <row r="48" spans="1:13" x14ac:dyDescent="0.3">
      <c r="A48" t="s">
        <v>105</v>
      </c>
      <c r="B48" s="1">
        <v>45913</v>
      </c>
      <c r="C48" t="s">
        <v>63</v>
      </c>
      <c r="D48" t="s">
        <v>64</v>
      </c>
      <c r="E48" t="s">
        <v>15</v>
      </c>
      <c r="F48" t="s">
        <v>16</v>
      </c>
      <c r="G48" t="s">
        <v>22</v>
      </c>
      <c r="H48" t="s">
        <v>26</v>
      </c>
      <c r="I48">
        <v>22</v>
      </c>
      <c r="J48">
        <v>262.69</v>
      </c>
      <c r="K48">
        <v>0</v>
      </c>
      <c r="L48">
        <v>5779.18</v>
      </c>
      <c r="M48">
        <f t="shared" si="0"/>
        <v>5779.18</v>
      </c>
    </row>
    <row r="49" spans="1:13" x14ac:dyDescent="0.3">
      <c r="A49" t="s">
        <v>106</v>
      </c>
      <c r="B49" s="1">
        <v>45945</v>
      </c>
      <c r="C49" t="s">
        <v>89</v>
      </c>
      <c r="D49" t="s">
        <v>64</v>
      </c>
      <c r="E49" t="s">
        <v>39</v>
      </c>
      <c r="F49" t="s">
        <v>39</v>
      </c>
      <c r="G49" t="s">
        <v>17</v>
      </c>
      <c r="H49" t="s">
        <v>31</v>
      </c>
      <c r="I49">
        <v>23</v>
      </c>
      <c r="J49">
        <v>114.31</v>
      </c>
      <c r="K49">
        <v>5</v>
      </c>
      <c r="L49">
        <v>2497.67</v>
      </c>
      <c r="M49">
        <f t="shared" si="0"/>
        <v>2497.6734999999999</v>
      </c>
    </row>
    <row r="50" spans="1:13" x14ac:dyDescent="0.3">
      <c r="A50" t="s">
        <v>107</v>
      </c>
      <c r="B50" s="1">
        <v>45930</v>
      </c>
      <c r="C50" t="s">
        <v>42</v>
      </c>
      <c r="D50" t="s">
        <v>43</v>
      </c>
      <c r="E50" t="s">
        <v>47</v>
      </c>
      <c r="F50" t="s">
        <v>48</v>
      </c>
      <c r="G50" t="s">
        <v>22</v>
      </c>
      <c r="H50" t="s">
        <v>31</v>
      </c>
      <c r="I50">
        <v>28</v>
      </c>
      <c r="J50">
        <v>143.86000000000001</v>
      </c>
      <c r="K50">
        <v>5</v>
      </c>
      <c r="L50">
        <v>3826.68</v>
      </c>
      <c r="M50">
        <f t="shared" si="0"/>
        <v>3826.6760000000004</v>
      </c>
    </row>
    <row r="51" spans="1:13" x14ac:dyDescent="0.3">
      <c r="A51" t="s">
        <v>108</v>
      </c>
      <c r="B51" s="1">
        <v>45827</v>
      </c>
      <c r="C51" t="s">
        <v>24</v>
      </c>
      <c r="D51" t="s">
        <v>14</v>
      </c>
      <c r="E51" t="s">
        <v>101</v>
      </c>
      <c r="F51" t="s">
        <v>16</v>
      </c>
      <c r="G51" t="s">
        <v>17</v>
      </c>
      <c r="H51" t="s">
        <v>18</v>
      </c>
      <c r="I51">
        <v>23</v>
      </c>
      <c r="J51">
        <v>63.17</v>
      </c>
      <c r="K51">
        <v>20</v>
      </c>
      <c r="L51">
        <v>1162.33</v>
      </c>
      <c r="M51">
        <f t="shared" si="0"/>
        <v>1162.3280000000002</v>
      </c>
    </row>
    <row r="52" spans="1:13" x14ac:dyDescent="0.3">
      <c r="A52" t="s">
        <v>109</v>
      </c>
      <c r="B52" s="1">
        <v>45970</v>
      </c>
      <c r="C52" t="s">
        <v>13</v>
      </c>
      <c r="D52" t="s">
        <v>14</v>
      </c>
      <c r="E52" t="s">
        <v>66</v>
      </c>
      <c r="F52" t="s">
        <v>67</v>
      </c>
      <c r="G52" t="s">
        <v>22</v>
      </c>
      <c r="H52" t="s">
        <v>31</v>
      </c>
      <c r="I52">
        <v>26</v>
      </c>
      <c r="J52">
        <v>56.23</v>
      </c>
      <c r="K52">
        <v>15</v>
      </c>
      <c r="L52">
        <v>1242.68</v>
      </c>
      <c r="M52">
        <f t="shared" si="0"/>
        <v>1242.683</v>
      </c>
    </row>
    <row r="53" spans="1:13" x14ac:dyDescent="0.3">
      <c r="A53" t="s">
        <v>110</v>
      </c>
      <c r="B53" s="1">
        <v>45800</v>
      </c>
      <c r="C53" t="s">
        <v>71</v>
      </c>
      <c r="D53" t="s">
        <v>64</v>
      </c>
      <c r="E53" t="s">
        <v>15</v>
      </c>
      <c r="F53" t="s">
        <v>16</v>
      </c>
      <c r="G53" t="s">
        <v>17</v>
      </c>
      <c r="H53" t="s">
        <v>31</v>
      </c>
      <c r="I53">
        <v>17</v>
      </c>
      <c r="J53">
        <v>136.52000000000001</v>
      </c>
      <c r="K53">
        <v>10</v>
      </c>
      <c r="L53">
        <v>2088.7600000000002</v>
      </c>
      <c r="M53">
        <f t="shared" si="0"/>
        <v>2088.7560000000003</v>
      </c>
    </row>
    <row r="54" spans="1:13" x14ac:dyDescent="0.3">
      <c r="A54" t="s">
        <v>111</v>
      </c>
      <c r="B54" s="1">
        <v>45720</v>
      </c>
      <c r="C54" t="s">
        <v>28</v>
      </c>
      <c r="D54" t="s">
        <v>14</v>
      </c>
      <c r="E54" t="s">
        <v>39</v>
      </c>
      <c r="F54" t="s">
        <v>39</v>
      </c>
      <c r="G54" t="s">
        <v>25</v>
      </c>
      <c r="H54" t="s">
        <v>18</v>
      </c>
      <c r="I54">
        <v>23</v>
      </c>
      <c r="J54">
        <v>202.78</v>
      </c>
      <c r="K54">
        <v>5</v>
      </c>
      <c r="L54">
        <v>4430.74</v>
      </c>
      <c r="M54">
        <f t="shared" si="0"/>
        <v>4430.7429999999995</v>
      </c>
    </row>
    <row r="55" spans="1:13" x14ac:dyDescent="0.3">
      <c r="A55" t="s">
        <v>112</v>
      </c>
      <c r="B55" s="1">
        <v>45983</v>
      </c>
      <c r="C55" t="s">
        <v>45</v>
      </c>
      <c r="D55" t="s">
        <v>46</v>
      </c>
      <c r="E55" t="s">
        <v>47</v>
      </c>
      <c r="F55" t="s">
        <v>48</v>
      </c>
      <c r="G55" t="s">
        <v>25</v>
      </c>
      <c r="H55" t="s">
        <v>31</v>
      </c>
      <c r="I55">
        <v>23</v>
      </c>
      <c r="J55">
        <v>275.51</v>
      </c>
      <c r="K55">
        <v>5</v>
      </c>
      <c r="L55">
        <v>6019.89</v>
      </c>
      <c r="M55">
        <f t="shared" si="0"/>
        <v>6019.8934999999992</v>
      </c>
    </row>
    <row r="56" spans="1:13" x14ac:dyDescent="0.3">
      <c r="A56" t="s">
        <v>113</v>
      </c>
      <c r="B56" s="1">
        <v>45765</v>
      </c>
      <c r="C56" t="s">
        <v>42</v>
      </c>
      <c r="D56" t="s">
        <v>43</v>
      </c>
      <c r="E56" t="s">
        <v>47</v>
      </c>
      <c r="F56" t="s">
        <v>48</v>
      </c>
      <c r="G56" t="s">
        <v>22</v>
      </c>
      <c r="H56" t="s">
        <v>26</v>
      </c>
      <c r="I56">
        <v>2</v>
      </c>
      <c r="J56">
        <v>159.84</v>
      </c>
      <c r="K56">
        <v>15</v>
      </c>
      <c r="L56">
        <v>271.73</v>
      </c>
      <c r="M56">
        <f t="shared" si="0"/>
        <v>271.72800000000001</v>
      </c>
    </row>
    <row r="57" spans="1:13" x14ac:dyDescent="0.3">
      <c r="A57" t="s">
        <v>114</v>
      </c>
      <c r="B57" s="1">
        <v>45968</v>
      </c>
      <c r="C57" t="s">
        <v>104</v>
      </c>
      <c r="D57" t="s">
        <v>14</v>
      </c>
      <c r="E57" t="s">
        <v>56</v>
      </c>
      <c r="F57" t="s">
        <v>48</v>
      </c>
      <c r="G57" t="s">
        <v>37</v>
      </c>
      <c r="H57" t="s">
        <v>31</v>
      </c>
      <c r="I57">
        <v>14</v>
      </c>
      <c r="J57">
        <v>206.55</v>
      </c>
      <c r="K57">
        <v>10</v>
      </c>
      <c r="L57">
        <v>2602.5300000000002</v>
      </c>
      <c r="M57">
        <f t="shared" si="0"/>
        <v>2602.5300000000002</v>
      </c>
    </row>
    <row r="58" spans="1:13" x14ac:dyDescent="0.3">
      <c r="A58" t="s">
        <v>115</v>
      </c>
      <c r="B58" s="1">
        <v>45802</v>
      </c>
      <c r="C58" t="s">
        <v>24</v>
      </c>
      <c r="D58" t="s">
        <v>14</v>
      </c>
      <c r="E58" t="s">
        <v>15</v>
      </c>
      <c r="F58" t="s">
        <v>16</v>
      </c>
      <c r="G58" t="s">
        <v>37</v>
      </c>
      <c r="H58" t="s">
        <v>26</v>
      </c>
      <c r="I58">
        <v>19</v>
      </c>
      <c r="J58">
        <v>65.209999999999994</v>
      </c>
      <c r="K58">
        <v>10</v>
      </c>
      <c r="L58">
        <v>1115.0899999999999</v>
      </c>
      <c r="M58">
        <f t="shared" si="0"/>
        <v>1115.0909999999999</v>
      </c>
    </row>
    <row r="59" spans="1:13" x14ac:dyDescent="0.3">
      <c r="A59" t="s">
        <v>116</v>
      </c>
      <c r="B59" s="1">
        <v>45774</v>
      </c>
      <c r="C59" t="s">
        <v>24</v>
      </c>
      <c r="D59" t="s">
        <v>14</v>
      </c>
      <c r="E59" t="s">
        <v>21</v>
      </c>
      <c r="F59" t="s">
        <v>16</v>
      </c>
      <c r="G59" t="s">
        <v>37</v>
      </c>
      <c r="H59" t="s">
        <v>31</v>
      </c>
      <c r="I59">
        <v>24</v>
      </c>
      <c r="J59">
        <v>61.76</v>
      </c>
      <c r="K59">
        <v>5</v>
      </c>
      <c r="L59">
        <v>1408.13</v>
      </c>
      <c r="M59">
        <f t="shared" si="0"/>
        <v>1408.1279999999999</v>
      </c>
    </row>
    <row r="60" spans="1:13" x14ac:dyDescent="0.3">
      <c r="A60" t="s">
        <v>117</v>
      </c>
      <c r="B60" s="1">
        <v>45779</v>
      </c>
      <c r="C60" t="s">
        <v>45</v>
      </c>
      <c r="D60" t="s">
        <v>46</v>
      </c>
      <c r="E60" t="s">
        <v>56</v>
      </c>
      <c r="F60" t="s">
        <v>48</v>
      </c>
      <c r="G60" t="s">
        <v>22</v>
      </c>
      <c r="H60" t="s">
        <v>26</v>
      </c>
      <c r="I60">
        <v>13</v>
      </c>
      <c r="J60">
        <v>284.72000000000003</v>
      </c>
      <c r="K60">
        <v>5</v>
      </c>
      <c r="L60">
        <v>3516.29</v>
      </c>
      <c r="M60">
        <f t="shared" si="0"/>
        <v>3516.2920000000004</v>
      </c>
    </row>
    <row r="61" spans="1:13" x14ac:dyDescent="0.3">
      <c r="A61" t="s">
        <v>118</v>
      </c>
      <c r="B61" s="1">
        <v>45929</v>
      </c>
      <c r="C61" t="s">
        <v>63</v>
      </c>
      <c r="D61" t="s">
        <v>64</v>
      </c>
      <c r="E61" t="s">
        <v>39</v>
      </c>
      <c r="F61" t="s">
        <v>39</v>
      </c>
      <c r="G61" t="s">
        <v>37</v>
      </c>
      <c r="H61" t="s">
        <v>31</v>
      </c>
      <c r="I61">
        <v>23</v>
      </c>
      <c r="J61">
        <v>292.02</v>
      </c>
      <c r="K61">
        <v>20</v>
      </c>
      <c r="L61">
        <v>5373.17</v>
      </c>
      <c r="M61">
        <f t="shared" si="0"/>
        <v>5373.1679999999997</v>
      </c>
    </row>
    <row r="62" spans="1:13" x14ac:dyDescent="0.3">
      <c r="A62" t="s">
        <v>119</v>
      </c>
      <c r="B62" s="1">
        <v>45733</v>
      </c>
      <c r="C62" t="s">
        <v>69</v>
      </c>
      <c r="D62" t="s">
        <v>46</v>
      </c>
      <c r="E62" t="s">
        <v>56</v>
      </c>
      <c r="F62" t="s">
        <v>48</v>
      </c>
      <c r="G62" t="s">
        <v>37</v>
      </c>
      <c r="H62" t="s">
        <v>18</v>
      </c>
      <c r="I62">
        <v>6</v>
      </c>
      <c r="J62">
        <v>316.93</v>
      </c>
      <c r="K62">
        <v>10</v>
      </c>
      <c r="L62">
        <v>1711.42</v>
      </c>
      <c r="M62">
        <f t="shared" si="0"/>
        <v>1711.422</v>
      </c>
    </row>
    <row r="63" spans="1:13" x14ac:dyDescent="0.3">
      <c r="A63" t="s">
        <v>120</v>
      </c>
      <c r="B63" s="1">
        <v>45726</v>
      </c>
      <c r="C63" t="s">
        <v>20</v>
      </c>
      <c r="D63" t="s">
        <v>14</v>
      </c>
      <c r="E63" t="s">
        <v>21</v>
      </c>
      <c r="F63" t="s">
        <v>16</v>
      </c>
      <c r="G63" t="s">
        <v>17</v>
      </c>
      <c r="H63" t="s">
        <v>31</v>
      </c>
      <c r="I63">
        <v>26</v>
      </c>
      <c r="J63">
        <v>140.41</v>
      </c>
      <c r="K63">
        <v>15</v>
      </c>
      <c r="L63">
        <v>3103.06</v>
      </c>
      <c r="M63">
        <f t="shared" si="0"/>
        <v>3103.0609999999997</v>
      </c>
    </row>
    <row r="64" spans="1:13" x14ac:dyDescent="0.3">
      <c r="A64" t="s">
        <v>121</v>
      </c>
      <c r="B64" s="1">
        <v>45998</v>
      </c>
      <c r="C64" t="s">
        <v>42</v>
      </c>
      <c r="D64" t="s">
        <v>43</v>
      </c>
      <c r="E64" t="s">
        <v>101</v>
      </c>
      <c r="F64" t="s">
        <v>16</v>
      </c>
      <c r="G64" t="s">
        <v>25</v>
      </c>
      <c r="H64" t="s">
        <v>31</v>
      </c>
      <c r="I64">
        <v>21</v>
      </c>
      <c r="J64">
        <v>140.26</v>
      </c>
      <c r="K64">
        <v>5</v>
      </c>
      <c r="L64">
        <v>2798.19</v>
      </c>
      <c r="M64">
        <f t="shared" si="0"/>
        <v>2798.1869999999999</v>
      </c>
    </row>
    <row r="65" spans="1:13" x14ac:dyDescent="0.3">
      <c r="A65" t="s">
        <v>122</v>
      </c>
      <c r="B65" s="1">
        <v>45903</v>
      </c>
      <c r="C65" t="s">
        <v>13</v>
      </c>
      <c r="D65" t="s">
        <v>14</v>
      </c>
      <c r="E65" t="s">
        <v>15</v>
      </c>
      <c r="F65" t="s">
        <v>16</v>
      </c>
      <c r="G65" t="s">
        <v>17</v>
      </c>
      <c r="H65" t="s">
        <v>31</v>
      </c>
      <c r="I65">
        <v>6</v>
      </c>
      <c r="J65">
        <v>53.88</v>
      </c>
      <c r="K65">
        <v>5</v>
      </c>
      <c r="L65">
        <v>307.12</v>
      </c>
      <c r="M65">
        <f t="shared" si="0"/>
        <v>307.11599999999999</v>
      </c>
    </row>
    <row r="66" spans="1:13" x14ac:dyDescent="0.3">
      <c r="A66" t="s">
        <v>123</v>
      </c>
      <c r="B66" s="1">
        <v>45753</v>
      </c>
      <c r="C66" t="s">
        <v>104</v>
      </c>
      <c r="D66" t="s">
        <v>14</v>
      </c>
      <c r="E66" t="s">
        <v>15</v>
      </c>
      <c r="F66" t="s">
        <v>16</v>
      </c>
      <c r="G66" t="s">
        <v>25</v>
      </c>
      <c r="H66" t="s">
        <v>18</v>
      </c>
      <c r="I66">
        <v>11</v>
      </c>
      <c r="J66">
        <v>225.54</v>
      </c>
      <c r="K66">
        <v>5</v>
      </c>
      <c r="L66">
        <v>2356.89</v>
      </c>
      <c r="M66">
        <f t="shared" ref="M66:M129" si="1">I66*J66*(1-K66/100)</f>
        <v>2356.893</v>
      </c>
    </row>
    <row r="67" spans="1:13" x14ac:dyDescent="0.3">
      <c r="A67" t="s">
        <v>124</v>
      </c>
      <c r="B67" s="1">
        <v>45817</v>
      </c>
      <c r="C67" t="s">
        <v>63</v>
      </c>
      <c r="D67" t="s">
        <v>64</v>
      </c>
      <c r="E67" t="s">
        <v>60</v>
      </c>
      <c r="F67" t="s">
        <v>61</v>
      </c>
      <c r="G67" t="s">
        <v>17</v>
      </c>
      <c r="H67" t="s">
        <v>26</v>
      </c>
      <c r="I67">
        <v>5</v>
      </c>
      <c r="J67">
        <v>286.49</v>
      </c>
      <c r="K67">
        <v>5</v>
      </c>
      <c r="L67">
        <v>1360.83</v>
      </c>
      <c r="M67">
        <f t="shared" si="1"/>
        <v>1360.8274999999999</v>
      </c>
    </row>
    <row r="68" spans="1:13" x14ac:dyDescent="0.3">
      <c r="A68" t="s">
        <v>125</v>
      </c>
      <c r="B68" s="1">
        <v>45836</v>
      </c>
      <c r="C68" t="s">
        <v>33</v>
      </c>
      <c r="D68" t="s">
        <v>14</v>
      </c>
      <c r="E68" t="s">
        <v>15</v>
      </c>
      <c r="F68" t="s">
        <v>16</v>
      </c>
      <c r="G68" t="s">
        <v>37</v>
      </c>
      <c r="H68" t="s">
        <v>31</v>
      </c>
      <c r="I68">
        <v>4</v>
      </c>
      <c r="J68">
        <v>123.44</v>
      </c>
      <c r="K68">
        <v>0</v>
      </c>
      <c r="L68">
        <v>493.76</v>
      </c>
      <c r="M68">
        <f t="shared" si="1"/>
        <v>493.76</v>
      </c>
    </row>
    <row r="69" spans="1:13" x14ac:dyDescent="0.3">
      <c r="A69" t="s">
        <v>126</v>
      </c>
      <c r="B69" s="1">
        <v>45700</v>
      </c>
      <c r="C69" t="s">
        <v>33</v>
      </c>
      <c r="D69" t="s">
        <v>14</v>
      </c>
      <c r="E69" t="s">
        <v>29</v>
      </c>
      <c r="F69" t="s">
        <v>30</v>
      </c>
      <c r="G69" t="s">
        <v>37</v>
      </c>
      <c r="H69" t="s">
        <v>18</v>
      </c>
      <c r="I69">
        <v>2</v>
      </c>
      <c r="J69">
        <v>131.07</v>
      </c>
      <c r="K69">
        <v>5</v>
      </c>
      <c r="L69">
        <v>249.03</v>
      </c>
      <c r="M69">
        <f t="shared" si="1"/>
        <v>249.03299999999999</v>
      </c>
    </row>
    <row r="70" spans="1:13" x14ac:dyDescent="0.3">
      <c r="A70" t="s">
        <v>127</v>
      </c>
      <c r="B70" s="1">
        <v>45692</v>
      </c>
      <c r="C70" t="s">
        <v>28</v>
      </c>
      <c r="D70" t="s">
        <v>14</v>
      </c>
      <c r="E70" t="s">
        <v>52</v>
      </c>
      <c r="F70" t="s">
        <v>53</v>
      </c>
      <c r="G70" t="s">
        <v>22</v>
      </c>
      <c r="H70" t="s">
        <v>31</v>
      </c>
      <c r="I70">
        <v>3</v>
      </c>
      <c r="J70">
        <v>190.64</v>
      </c>
      <c r="K70">
        <v>5</v>
      </c>
      <c r="L70">
        <v>543.32000000000005</v>
      </c>
      <c r="M70">
        <f t="shared" si="1"/>
        <v>543.32399999999996</v>
      </c>
    </row>
    <row r="71" spans="1:13" x14ac:dyDescent="0.3">
      <c r="A71" t="s">
        <v>128</v>
      </c>
      <c r="B71" s="1">
        <v>45772</v>
      </c>
      <c r="C71" t="s">
        <v>13</v>
      </c>
      <c r="D71" t="s">
        <v>14</v>
      </c>
      <c r="E71" t="s">
        <v>101</v>
      </c>
      <c r="F71" t="s">
        <v>16</v>
      </c>
      <c r="G71" t="s">
        <v>25</v>
      </c>
      <c r="H71" t="s">
        <v>26</v>
      </c>
      <c r="I71">
        <v>27</v>
      </c>
      <c r="J71">
        <v>57</v>
      </c>
      <c r="K71">
        <v>5</v>
      </c>
      <c r="L71">
        <v>1462.05</v>
      </c>
      <c r="M71">
        <f t="shared" si="1"/>
        <v>1462.05</v>
      </c>
    </row>
    <row r="72" spans="1:13" x14ac:dyDescent="0.3">
      <c r="A72" t="s">
        <v>129</v>
      </c>
      <c r="B72" s="1">
        <v>45874</v>
      </c>
      <c r="C72" t="s">
        <v>55</v>
      </c>
      <c r="D72" t="s">
        <v>14</v>
      </c>
      <c r="E72" t="s">
        <v>56</v>
      </c>
      <c r="F72" t="s">
        <v>48</v>
      </c>
      <c r="G72" t="s">
        <v>37</v>
      </c>
      <c r="H72" t="s">
        <v>31</v>
      </c>
      <c r="I72">
        <v>22</v>
      </c>
      <c r="J72">
        <v>174.54</v>
      </c>
      <c r="K72">
        <v>10</v>
      </c>
      <c r="L72">
        <v>3455.89</v>
      </c>
      <c r="M72">
        <f t="shared" si="1"/>
        <v>3455.8919999999998</v>
      </c>
    </row>
    <row r="73" spans="1:13" x14ac:dyDescent="0.3">
      <c r="A73" t="s">
        <v>130</v>
      </c>
      <c r="B73" s="1">
        <v>45834</v>
      </c>
      <c r="C73" t="s">
        <v>104</v>
      </c>
      <c r="D73" t="s">
        <v>14</v>
      </c>
      <c r="E73" t="s">
        <v>73</v>
      </c>
      <c r="F73" t="s">
        <v>74</v>
      </c>
      <c r="G73" t="s">
        <v>37</v>
      </c>
      <c r="H73" t="s">
        <v>31</v>
      </c>
      <c r="I73">
        <v>6</v>
      </c>
      <c r="J73">
        <v>231.03</v>
      </c>
      <c r="K73">
        <v>10</v>
      </c>
      <c r="L73">
        <v>1247.56</v>
      </c>
      <c r="M73">
        <f t="shared" si="1"/>
        <v>1247.5620000000001</v>
      </c>
    </row>
    <row r="74" spans="1:13" x14ac:dyDescent="0.3">
      <c r="A74" t="s">
        <v>131</v>
      </c>
      <c r="B74" s="1">
        <v>45925</v>
      </c>
      <c r="C74" t="s">
        <v>89</v>
      </c>
      <c r="D74" t="s">
        <v>64</v>
      </c>
      <c r="E74" t="s">
        <v>15</v>
      </c>
      <c r="F74" t="s">
        <v>16</v>
      </c>
      <c r="G74" t="s">
        <v>25</v>
      </c>
      <c r="H74" t="s">
        <v>26</v>
      </c>
      <c r="I74">
        <v>8</v>
      </c>
      <c r="J74">
        <v>111.77</v>
      </c>
      <c r="K74">
        <v>20</v>
      </c>
      <c r="L74">
        <v>715.33</v>
      </c>
      <c r="M74">
        <f t="shared" si="1"/>
        <v>715.32799999999997</v>
      </c>
    </row>
    <row r="75" spans="1:13" x14ac:dyDescent="0.3">
      <c r="A75" t="s">
        <v>132</v>
      </c>
      <c r="B75" s="1">
        <v>45719</v>
      </c>
      <c r="C75" t="s">
        <v>63</v>
      </c>
      <c r="D75" t="s">
        <v>64</v>
      </c>
      <c r="E75" t="s">
        <v>56</v>
      </c>
      <c r="F75" t="s">
        <v>48</v>
      </c>
      <c r="G75" t="s">
        <v>17</v>
      </c>
      <c r="H75" t="s">
        <v>18</v>
      </c>
      <c r="I75">
        <v>26</v>
      </c>
      <c r="J75">
        <v>265.33999999999997</v>
      </c>
      <c r="K75">
        <v>0</v>
      </c>
      <c r="L75">
        <v>6898.84</v>
      </c>
      <c r="M75">
        <f t="shared" si="1"/>
        <v>6898.8399999999992</v>
      </c>
    </row>
    <row r="76" spans="1:13" x14ac:dyDescent="0.3">
      <c r="A76" t="s">
        <v>133</v>
      </c>
      <c r="B76" s="1">
        <v>45890</v>
      </c>
      <c r="C76" t="s">
        <v>71</v>
      </c>
      <c r="D76" t="s">
        <v>64</v>
      </c>
      <c r="E76" t="s">
        <v>73</v>
      </c>
      <c r="F76" t="s">
        <v>74</v>
      </c>
      <c r="G76" t="s">
        <v>25</v>
      </c>
      <c r="H76" t="s">
        <v>26</v>
      </c>
      <c r="I76">
        <v>28</v>
      </c>
      <c r="J76">
        <v>138</v>
      </c>
      <c r="K76">
        <v>15</v>
      </c>
      <c r="L76">
        <v>3284.4</v>
      </c>
      <c r="M76">
        <f t="shared" si="1"/>
        <v>3284.4</v>
      </c>
    </row>
    <row r="77" spans="1:13" x14ac:dyDescent="0.3">
      <c r="A77" t="s">
        <v>134</v>
      </c>
      <c r="B77" s="1">
        <v>45996</v>
      </c>
      <c r="C77" t="s">
        <v>89</v>
      </c>
      <c r="D77" t="s">
        <v>64</v>
      </c>
      <c r="E77" t="s">
        <v>52</v>
      </c>
      <c r="F77" t="s">
        <v>53</v>
      </c>
      <c r="G77" t="s">
        <v>17</v>
      </c>
      <c r="H77" t="s">
        <v>18</v>
      </c>
      <c r="I77">
        <v>29</v>
      </c>
      <c r="J77">
        <v>119.9</v>
      </c>
      <c r="K77">
        <v>15</v>
      </c>
      <c r="L77">
        <v>2955.54</v>
      </c>
      <c r="M77">
        <f t="shared" si="1"/>
        <v>2955.5350000000003</v>
      </c>
    </row>
    <row r="78" spans="1:13" x14ac:dyDescent="0.3">
      <c r="A78" t="s">
        <v>135</v>
      </c>
      <c r="B78" s="1">
        <v>45710</v>
      </c>
      <c r="C78" t="s">
        <v>20</v>
      </c>
      <c r="D78" t="s">
        <v>14</v>
      </c>
      <c r="E78" t="s">
        <v>29</v>
      </c>
      <c r="F78" t="s">
        <v>30</v>
      </c>
      <c r="G78" t="s">
        <v>17</v>
      </c>
      <c r="H78" t="s">
        <v>18</v>
      </c>
      <c r="I78">
        <v>13</v>
      </c>
      <c r="J78">
        <v>140.03</v>
      </c>
      <c r="K78">
        <v>10</v>
      </c>
      <c r="L78">
        <v>1638.35</v>
      </c>
      <c r="M78">
        <f t="shared" si="1"/>
        <v>1638.3510000000001</v>
      </c>
    </row>
    <row r="79" spans="1:13" x14ac:dyDescent="0.3">
      <c r="A79" t="s">
        <v>136</v>
      </c>
      <c r="B79" s="1">
        <v>45790</v>
      </c>
      <c r="C79" t="s">
        <v>13</v>
      </c>
      <c r="D79" t="s">
        <v>14</v>
      </c>
      <c r="E79" t="s">
        <v>73</v>
      </c>
      <c r="F79" t="s">
        <v>74</v>
      </c>
      <c r="G79" t="s">
        <v>22</v>
      </c>
      <c r="H79" t="s">
        <v>26</v>
      </c>
      <c r="I79">
        <v>22</v>
      </c>
      <c r="J79">
        <v>54.94</v>
      </c>
      <c r="K79">
        <v>5</v>
      </c>
      <c r="L79">
        <v>1148.25</v>
      </c>
      <c r="M79">
        <f t="shared" si="1"/>
        <v>1148.2459999999999</v>
      </c>
    </row>
    <row r="80" spans="1:13" x14ac:dyDescent="0.3">
      <c r="A80" t="s">
        <v>137</v>
      </c>
      <c r="B80" s="1">
        <v>45666</v>
      </c>
      <c r="C80" t="s">
        <v>89</v>
      </c>
      <c r="D80" t="s">
        <v>64</v>
      </c>
      <c r="E80" t="s">
        <v>56</v>
      </c>
      <c r="F80" t="s">
        <v>48</v>
      </c>
      <c r="G80" t="s">
        <v>17</v>
      </c>
      <c r="H80" t="s">
        <v>18</v>
      </c>
      <c r="I80">
        <v>12</v>
      </c>
      <c r="J80">
        <v>101.58</v>
      </c>
      <c r="K80">
        <v>15</v>
      </c>
      <c r="L80">
        <v>1036.1199999999999</v>
      </c>
      <c r="M80">
        <f t="shared" si="1"/>
        <v>1036.116</v>
      </c>
    </row>
    <row r="81" spans="1:13" x14ac:dyDescent="0.3">
      <c r="A81" t="s">
        <v>138</v>
      </c>
      <c r="B81" s="1">
        <v>45825</v>
      </c>
      <c r="C81" t="s">
        <v>20</v>
      </c>
      <c r="D81" t="s">
        <v>14</v>
      </c>
      <c r="E81" t="s">
        <v>66</v>
      </c>
      <c r="F81" t="s">
        <v>67</v>
      </c>
      <c r="G81" t="s">
        <v>37</v>
      </c>
      <c r="H81" t="s">
        <v>26</v>
      </c>
      <c r="I81">
        <v>30</v>
      </c>
      <c r="J81">
        <v>154.82</v>
      </c>
      <c r="K81">
        <v>20</v>
      </c>
      <c r="L81">
        <v>3715.68</v>
      </c>
      <c r="M81">
        <f t="shared" si="1"/>
        <v>3715.68</v>
      </c>
    </row>
    <row r="82" spans="1:13" x14ac:dyDescent="0.3">
      <c r="A82" t="s">
        <v>139</v>
      </c>
      <c r="B82" s="1">
        <v>45822</v>
      </c>
      <c r="C82" t="s">
        <v>20</v>
      </c>
      <c r="D82" t="s">
        <v>14</v>
      </c>
      <c r="E82" t="s">
        <v>73</v>
      </c>
      <c r="F82" t="s">
        <v>74</v>
      </c>
      <c r="G82" t="s">
        <v>25</v>
      </c>
      <c r="H82" t="s">
        <v>18</v>
      </c>
      <c r="I82">
        <v>27</v>
      </c>
      <c r="J82">
        <v>134.75</v>
      </c>
      <c r="K82">
        <v>20</v>
      </c>
      <c r="L82">
        <v>2910.6</v>
      </c>
      <c r="M82">
        <f t="shared" si="1"/>
        <v>2910.6000000000004</v>
      </c>
    </row>
    <row r="83" spans="1:13" x14ac:dyDescent="0.3">
      <c r="A83" t="s">
        <v>140</v>
      </c>
      <c r="B83" s="1">
        <v>45984</v>
      </c>
      <c r="C83" t="s">
        <v>86</v>
      </c>
      <c r="D83" t="s">
        <v>14</v>
      </c>
      <c r="E83" t="s">
        <v>21</v>
      </c>
      <c r="F83" t="s">
        <v>16</v>
      </c>
      <c r="G83" t="s">
        <v>37</v>
      </c>
      <c r="H83" t="s">
        <v>26</v>
      </c>
      <c r="I83">
        <v>2</v>
      </c>
      <c r="J83">
        <v>80.709999999999994</v>
      </c>
      <c r="K83">
        <v>0</v>
      </c>
      <c r="L83">
        <v>161.41999999999999</v>
      </c>
      <c r="M83">
        <f t="shared" si="1"/>
        <v>161.41999999999999</v>
      </c>
    </row>
    <row r="84" spans="1:13" x14ac:dyDescent="0.3">
      <c r="A84" t="s">
        <v>141</v>
      </c>
      <c r="B84" s="1">
        <v>46021</v>
      </c>
      <c r="C84" t="s">
        <v>55</v>
      </c>
      <c r="D84" t="s">
        <v>14</v>
      </c>
      <c r="E84" t="s">
        <v>15</v>
      </c>
      <c r="F84" t="s">
        <v>16</v>
      </c>
      <c r="G84" t="s">
        <v>37</v>
      </c>
      <c r="H84" t="s">
        <v>31</v>
      </c>
      <c r="I84">
        <v>29</v>
      </c>
      <c r="J84">
        <v>165.01</v>
      </c>
      <c r="K84">
        <v>20</v>
      </c>
      <c r="L84">
        <v>3828.23</v>
      </c>
      <c r="M84">
        <f t="shared" si="1"/>
        <v>3828.232</v>
      </c>
    </row>
    <row r="85" spans="1:13" x14ac:dyDescent="0.3">
      <c r="A85" t="s">
        <v>142</v>
      </c>
      <c r="B85" s="1">
        <v>45830</v>
      </c>
      <c r="C85" t="s">
        <v>86</v>
      </c>
      <c r="D85" t="s">
        <v>14</v>
      </c>
      <c r="E85" t="s">
        <v>56</v>
      </c>
      <c r="F85" t="s">
        <v>48</v>
      </c>
      <c r="G85" t="s">
        <v>22</v>
      </c>
      <c r="H85" t="s">
        <v>31</v>
      </c>
      <c r="I85">
        <v>27</v>
      </c>
      <c r="J85">
        <v>72.45</v>
      </c>
      <c r="K85">
        <v>10</v>
      </c>
      <c r="L85">
        <v>1760.54</v>
      </c>
      <c r="M85">
        <f t="shared" si="1"/>
        <v>1760.5350000000001</v>
      </c>
    </row>
    <row r="86" spans="1:13" x14ac:dyDescent="0.3">
      <c r="A86" t="s">
        <v>143</v>
      </c>
      <c r="B86" s="1">
        <v>46018</v>
      </c>
      <c r="C86" t="s">
        <v>69</v>
      </c>
      <c r="D86" t="s">
        <v>46</v>
      </c>
      <c r="E86" t="s">
        <v>39</v>
      </c>
      <c r="F86" t="s">
        <v>39</v>
      </c>
      <c r="G86" t="s">
        <v>37</v>
      </c>
      <c r="H86" t="s">
        <v>31</v>
      </c>
      <c r="I86">
        <v>27</v>
      </c>
      <c r="J86">
        <v>324.94</v>
      </c>
      <c r="K86">
        <v>20</v>
      </c>
      <c r="L86">
        <v>7018.7</v>
      </c>
      <c r="M86">
        <f t="shared" si="1"/>
        <v>7018.7039999999997</v>
      </c>
    </row>
    <row r="87" spans="1:13" x14ac:dyDescent="0.3">
      <c r="A87" t="s">
        <v>144</v>
      </c>
      <c r="B87" s="1">
        <v>45969</v>
      </c>
      <c r="C87" t="s">
        <v>13</v>
      </c>
      <c r="D87" t="s">
        <v>14</v>
      </c>
      <c r="E87" t="s">
        <v>101</v>
      </c>
      <c r="F87" t="s">
        <v>16</v>
      </c>
      <c r="G87" t="s">
        <v>22</v>
      </c>
      <c r="H87" t="s">
        <v>26</v>
      </c>
      <c r="I87">
        <v>29</v>
      </c>
      <c r="J87">
        <v>60.08</v>
      </c>
      <c r="K87">
        <v>15</v>
      </c>
      <c r="L87">
        <v>1480.97</v>
      </c>
      <c r="M87">
        <f t="shared" si="1"/>
        <v>1480.972</v>
      </c>
    </row>
    <row r="88" spans="1:13" x14ac:dyDescent="0.3">
      <c r="A88" t="s">
        <v>145</v>
      </c>
      <c r="B88" s="1">
        <v>45974</v>
      </c>
      <c r="C88" t="s">
        <v>63</v>
      </c>
      <c r="D88" t="s">
        <v>64</v>
      </c>
      <c r="E88" t="s">
        <v>47</v>
      </c>
      <c r="F88" t="s">
        <v>48</v>
      </c>
      <c r="G88" t="s">
        <v>17</v>
      </c>
      <c r="H88" t="s">
        <v>31</v>
      </c>
      <c r="I88">
        <v>27</v>
      </c>
      <c r="J88">
        <v>252.68</v>
      </c>
      <c r="K88">
        <v>20</v>
      </c>
      <c r="L88">
        <v>5457.89</v>
      </c>
      <c r="M88">
        <f t="shared" si="1"/>
        <v>5457.8880000000008</v>
      </c>
    </row>
    <row r="89" spans="1:13" x14ac:dyDescent="0.3">
      <c r="A89" t="s">
        <v>146</v>
      </c>
      <c r="B89" s="1">
        <v>45821</v>
      </c>
      <c r="C89" t="s">
        <v>42</v>
      </c>
      <c r="D89" t="s">
        <v>43</v>
      </c>
      <c r="E89" t="s">
        <v>29</v>
      </c>
      <c r="F89" t="s">
        <v>30</v>
      </c>
      <c r="G89" t="s">
        <v>37</v>
      </c>
      <c r="H89" t="s">
        <v>31</v>
      </c>
      <c r="I89">
        <v>22</v>
      </c>
      <c r="J89">
        <v>164.79</v>
      </c>
      <c r="K89">
        <v>20</v>
      </c>
      <c r="L89">
        <v>2900.3</v>
      </c>
      <c r="M89">
        <f t="shared" si="1"/>
        <v>2900.3040000000001</v>
      </c>
    </row>
    <row r="90" spans="1:13" x14ac:dyDescent="0.3">
      <c r="A90" t="s">
        <v>147</v>
      </c>
      <c r="B90" s="1">
        <v>45671</v>
      </c>
      <c r="C90" t="s">
        <v>89</v>
      </c>
      <c r="D90" t="s">
        <v>64</v>
      </c>
      <c r="E90" t="s">
        <v>21</v>
      </c>
      <c r="F90" t="s">
        <v>16</v>
      </c>
      <c r="G90" t="s">
        <v>37</v>
      </c>
      <c r="H90" t="s">
        <v>26</v>
      </c>
      <c r="I90">
        <v>19</v>
      </c>
      <c r="J90">
        <v>102.66</v>
      </c>
      <c r="K90">
        <v>0</v>
      </c>
      <c r="L90">
        <v>1950.54</v>
      </c>
      <c r="M90">
        <f t="shared" si="1"/>
        <v>1950.54</v>
      </c>
    </row>
    <row r="91" spans="1:13" x14ac:dyDescent="0.3">
      <c r="A91" t="s">
        <v>148</v>
      </c>
      <c r="B91" s="1">
        <v>45669</v>
      </c>
      <c r="C91" t="s">
        <v>42</v>
      </c>
      <c r="D91" t="s">
        <v>43</v>
      </c>
      <c r="E91" t="s">
        <v>101</v>
      </c>
      <c r="F91" t="s">
        <v>16</v>
      </c>
      <c r="G91" t="s">
        <v>17</v>
      </c>
      <c r="H91" t="s">
        <v>31</v>
      </c>
      <c r="I91">
        <v>23</v>
      </c>
      <c r="J91">
        <v>146.53</v>
      </c>
      <c r="K91">
        <v>0</v>
      </c>
      <c r="L91">
        <v>3370.19</v>
      </c>
      <c r="M91">
        <f t="shared" si="1"/>
        <v>3370.19</v>
      </c>
    </row>
    <row r="92" spans="1:13" x14ac:dyDescent="0.3">
      <c r="A92" t="s">
        <v>149</v>
      </c>
      <c r="B92" s="1">
        <v>45747</v>
      </c>
      <c r="C92" t="s">
        <v>20</v>
      </c>
      <c r="D92" t="s">
        <v>14</v>
      </c>
      <c r="E92" t="s">
        <v>60</v>
      </c>
      <c r="F92" t="s">
        <v>61</v>
      </c>
      <c r="G92" t="s">
        <v>25</v>
      </c>
      <c r="H92" t="s">
        <v>26</v>
      </c>
      <c r="I92">
        <v>9</v>
      </c>
      <c r="J92">
        <v>135.41999999999999</v>
      </c>
      <c r="K92">
        <v>15</v>
      </c>
      <c r="L92">
        <v>1035.96</v>
      </c>
      <c r="M92">
        <f t="shared" si="1"/>
        <v>1035.963</v>
      </c>
    </row>
    <row r="93" spans="1:13" x14ac:dyDescent="0.3">
      <c r="A93" t="s">
        <v>150</v>
      </c>
      <c r="B93" s="1">
        <v>45885</v>
      </c>
      <c r="C93" t="s">
        <v>24</v>
      </c>
      <c r="D93" t="s">
        <v>14</v>
      </c>
      <c r="E93" t="s">
        <v>66</v>
      </c>
      <c r="F93" t="s">
        <v>67</v>
      </c>
      <c r="G93" t="s">
        <v>37</v>
      </c>
      <c r="H93" t="s">
        <v>31</v>
      </c>
      <c r="I93">
        <v>29</v>
      </c>
      <c r="J93">
        <v>59.51</v>
      </c>
      <c r="K93">
        <v>0</v>
      </c>
      <c r="L93">
        <v>1725.79</v>
      </c>
      <c r="M93">
        <f t="shared" si="1"/>
        <v>1725.79</v>
      </c>
    </row>
    <row r="94" spans="1:13" x14ac:dyDescent="0.3">
      <c r="A94" t="s">
        <v>151</v>
      </c>
      <c r="B94" s="1">
        <v>45869</v>
      </c>
      <c r="C94" t="s">
        <v>79</v>
      </c>
      <c r="D94" t="s">
        <v>43</v>
      </c>
      <c r="E94" t="s">
        <v>34</v>
      </c>
      <c r="F94" t="s">
        <v>35</v>
      </c>
      <c r="G94" t="s">
        <v>25</v>
      </c>
      <c r="H94" t="s">
        <v>18</v>
      </c>
      <c r="I94">
        <v>18</v>
      </c>
      <c r="J94">
        <v>229.43</v>
      </c>
      <c r="K94">
        <v>20</v>
      </c>
      <c r="L94">
        <v>3303.79</v>
      </c>
      <c r="M94">
        <f t="shared" si="1"/>
        <v>3303.7919999999999</v>
      </c>
    </row>
    <row r="95" spans="1:13" x14ac:dyDescent="0.3">
      <c r="A95" t="s">
        <v>152</v>
      </c>
      <c r="B95" s="1">
        <v>45739</v>
      </c>
      <c r="C95" t="s">
        <v>69</v>
      </c>
      <c r="D95" t="s">
        <v>46</v>
      </c>
      <c r="E95" t="s">
        <v>52</v>
      </c>
      <c r="F95" t="s">
        <v>53</v>
      </c>
      <c r="G95" t="s">
        <v>37</v>
      </c>
      <c r="H95" t="s">
        <v>26</v>
      </c>
      <c r="I95">
        <v>14</v>
      </c>
      <c r="J95">
        <v>335.48</v>
      </c>
      <c r="K95">
        <v>20</v>
      </c>
      <c r="L95">
        <v>3757.38</v>
      </c>
      <c r="M95">
        <f t="shared" si="1"/>
        <v>3757.3760000000002</v>
      </c>
    </row>
    <row r="96" spans="1:13" x14ac:dyDescent="0.3">
      <c r="A96" t="s">
        <v>153</v>
      </c>
      <c r="B96" s="1">
        <v>45908</v>
      </c>
      <c r="C96" t="s">
        <v>89</v>
      </c>
      <c r="D96" t="s">
        <v>64</v>
      </c>
      <c r="E96" t="s">
        <v>29</v>
      </c>
      <c r="F96" t="s">
        <v>30</v>
      </c>
      <c r="G96" t="s">
        <v>22</v>
      </c>
      <c r="H96" t="s">
        <v>26</v>
      </c>
      <c r="I96">
        <v>3</v>
      </c>
      <c r="J96">
        <v>100.82</v>
      </c>
      <c r="K96">
        <v>5</v>
      </c>
      <c r="L96">
        <v>287.33999999999997</v>
      </c>
      <c r="M96">
        <f t="shared" si="1"/>
        <v>287.33699999999999</v>
      </c>
    </row>
    <row r="97" spans="1:13" x14ac:dyDescent="0.3">
      <c r="A97" t="s">
        <v>154</v>
      </c>
      <c r="B97" s="1">
        <v>45924</v>
      </c>
      <c r="C97" t="s">
        <v>69</v>
      </c>
      <c r="D97" t="s">
        <v>46</v>
      </c>
      <c r="E97" t="s">
        <v>29</v>
      </c>
      <c r="F97" t="s">
        <v>30</v>
      </c>
      <c r="G97" t="s">
        <v>22</v>
      </c>
      <c r="H97" t="s">
        <v>26</v>
      </c>
      <c r="I97">
        <v>23</v>
      </c>
      <c r="J97">
        <v>329.25</v>
      </c>
      <c r="K97">
        <v>0</v>
      </c>
      <c r="L97">
        <v>7572.75</v>
      </c>
      <c r="M97">
        <f t="shared" si="1"/>
        <v>7572.75</v>
      </c>
    </row>
    <row r="98" spans="1:13" x14ac:dyDescent="0.3">
      <c r="A98" t="s">
        <v>155</v>
      </c>
      <c r="B98" s="1">
        <v>45755</v>
      </c>
      <c r="C98" t="s">
        <v>104</v>
      </c>
      <c r="D98" t="s">
        <v>14</v>
      </c>
      <c r="E98" t="s">
        <v>66</v>
      </c>
      <c r="F98" t="s">
        <v>67</v>
      </c>
      <c r="G98" t="s">
        <v>22</v>
      </c>
      <c r="H98" t="s">
        <v>26</v>
      </c>
      <c r="I98">
        <v>23</v>
      </c>
      <c r="J98">
        <v>234.48</v>
      </c>
      <c r="K98">
        <v>0</v>
      </c>
      <c r="L98">
        <v>5393.04</v>
      </c>
      <c r="M98">
        <f t="shared" si="1"/>
        <v>5393.04</v>
      </c>
    </row>
    <row r="99" spans="1:13" x14ac:dyDescent="0.3">
      <c r="A99" t="s">
        <v>156</v>
      </c>
      <c r="B99" s="1">
        <v>45854</v>
      </c>
      <c r="C99" t="s">
        <v>55</v>
      </c>
      <c r="D99" t="s">
        <v>14</v>
      </c>
      <c r="E99" t="s">
        <v>21</v>
      </c>
      <c r="F99" t="s">
        <v>16</v>
      </c>
      <c r="G99" t="s">
        <v>22</v>
      </c>
      <c r="H99" t="s">
        <v>26</v>
      </c>
      <c r="I99">
        <v>22</v>
      </c>
      <c r="J99">
        <v>164.03</v>
      </c>
      <c r="K99">
        <v>15</v>
      </c>
      <c r="L99">
        <v>3067.36</v>
      </c>
      <c r="M99">
        <f t="shared" si="1"/>
        <v>3067.3609999999999</v>
      </c>
    </row>
    <row r="100" spans="1:13" x14ac:dyDescent="0.3">
      <c r="A100" t="s">
        <v>157</v>
      </c>
      <c r="B100" s="1">
        <v>45822</v>
      </c>
      <c r="C100" t="s">
        <v>42</v>
      </c>
      <c r="D100" t="s">
        <v>43</v>
      </c>
      <c r="E100" t="s">
        <v>29</v>
      </c>
      <c r="F100" t="s">
        <v>30</v>
      </c>
      <c r="G100" t="s">
        <v>25</v>
      </c>
      <c r="H100" t="s">
        <v>18</v>
      </c>
      <c r="I100">
        <v>22</v>
      </c>
      <c r="J100">
        <v>152.55000000000001</v>
      </c>
      <c r="K100">
        <v>20</v>
      </c>
      <c r="L100">
        <v>2684.88</v>
      </c>
      <c r="M100">
        <f t="shared" si="1"/>
        <v>2684.8800000000006</v>
      </c>
    </row>
    <row r="101" spans="1:13" x14ac:dyDescent="0.3">
      <c r="A101" t="s">
        <v>158</v>
      </c>
      <c r="B101" s="1">
        <v>45708</v>
      </c>
      <c r="C101" t="s">
        <v>20</v>
      </c>
      <c r="D101" t="s">
        <v>14</v>
      </c>
      <c r="E101" t="s">
        <v>66</v>
      </c>
      <c r="F101" t="s">
        <v>67</v>
      </c>
      <c r="G101" t="s">
        <v>22</v>
      </c>
      <c r="H101" t="s">
        <v>26</v>
      </c>
      <c r="I101">
        <v>22</v>
      </c>
      <c r="J101">
        <v>143.57</v>
      </c>
      <c r="K101">
        <v>0</v>
      </c>
      <c r="L101">
        <v>3158.54</v>
      </c>
      <c r="M101">
        <f t="shared" si="1"/>
        <v>3158.54</v>
      </c>
    </row>
    <row r="102" spans="1:13" x14ac:dyDescent="0.3">
      <c r="A102" t="s">
        <v>159</v>
      </c>
      <c r="B102" s="1">
        <v>46005</v>
      </c>
      <c r="C102" t="s">
        <v>69</v>
      </c>
      <c r="D102" t="s">
        <v>46</v>
      </c>
      <c r="E102" t="s">
        <v>15</v>
      </c>
      <c r="F102" t="s">
        <v>16</v>
      </c>
      <c r="G102" t="s">
        <v>25</v>
      </c>
      <c r="H102" t="s">
        <v>26</v>
      </c>
      <c r="I102">
        <v>18</v>
      </c>
      <c r="J102">
        <v>325.93</v>
      </c>
      <c r="K102">
        <v>5</v>
      </c>
      <c r="L102">
        <v>5573.4</v>
      </c>
      <c r="M102">
        <f t="shared" si="1"/>
        <v>5573.4029999999993</v>
      </c>
    </row>
    <row r="103" spans="1:13" x14ac:dyDescent="0.3">
      <c r="A103" t="s">
        <v>160</v>
      </c>
      <c r="B103" s="1">
        <v>45963</v>
      </c>
      <c r="C103" t="s">
        <v>42</v>
      </c>
      <c r="D103" t="s">
        <v>43</v>
      </c>
      <c r="E103" t="s">
        <v>60</v>
      </c>
      <c r="F103" t="s">
        <v>61</v>
      </c>
      <c r="G103" t="s">
        <v>22</v>
      </c>
      <c r="H103" t="s">
        <v>31</v>
      </c>
      <c r="I103">
        <v>27</v>
      </c>
      <c r="J103">
        <v>150.61000000000001</v>
      </c>
      <c r="K103">
        <v>10</v>
      </c>
      <c r="L103">
        <v>3659.82</v>
      </c>
      <c r="M103">
        <f t="shared" si="1"/>
        <v>3659.8230000000003</v>
      </c>
    </row>
    <row r="104" spans="1:13" x14ac:dyDescent="0.3">
      <c r="A104" t="s">
        <v>161</v>
      </c>
      <c r="B104" s="1">
        <v>45998</v>
      </c>
      <c r="C104" t="s">
        <v>28</v>
      </c>
      <c r="D104" t="s">
        <v>14</v>
      </c>
      <c r="E104" t="s">
        <v>101</v>
      </c>
      <c r="F104" t="s">
        <v>16</v>
      </c>
      <c r="G104" t="s">
        <v>25</v>
      </c>
      <c r="H104" t="s">
        <v>26</v>
      </c>
      <c r="I104">
        <v>28</v>
      </c>
      <c r="J104">
        <v>205.95</v>
      </c>
      <c r="K104">
        <v>20</v>
      </c>
      <c r="L104">
        <v>4613.28</v>
      </c>
      <c r="M104">
        <f t="shared" si="1"/>
        <v>4613.28</v>
      </c>
    </row>
    <row r="105" spans="1:13" x14ac:dyDescent="0.3">
      <c r="A105" t="s">
        <v>162</v>
      </c>
      <c r="B105" s="1">
        <v>45883</v>
      </c>
      <c r="C105" t="s">
        <v>45</v>
      </c>
      <c r="D105" t="s">
        <v>46</v>
      </c>
      <c r="E105" t="s">
        <v>39</v>
      </c>
      <c r="F105" t="s">
        <v>39</v>
      </c>
      <c r="G105" t="s">
        <v>22</v>
      </c>
      <c r="H105" t="s">
        <v>18</v>
      </c>
      <c r="I105">
        <v>8</v>
      </c>
      <c r="J105">
        <v>268.91000000000003</v>
      </c>
      <c r="K105">
        <v>15</v>
      </c>
      <c r="L105">
        <v>1828.59</v>
      </c>
      <c r="M105">
        <f t="shared" si="1"/>
        <v>1828.5880000000002</v>
      </c>
    </row>
    <row r="106" spans="1:13" x14ac:dyDescent="0.3">
      <c r="A106" t="s">
        <v>163</v>
      </c>
      <c r="B106" s="1">
        <v>45965</v>
      </c>
      <c r="C106" t="s">
        <v>86</v>
      </c>
      <c r="D106" t="s">
        <v>14</v>
      </c>
      <c r="E106" t="s">
        <v>39</v>
      </c>
      <c r="F106" t="s">
        <v>39</v>
      </c>
      <c r="G106" t="s">
        <v>25</v>
      </c>
      <c r="H106" t="s">
        <v>31</v>
      </c>
      <c r="I106">
        <v>16</v>
      </c>
      <c r="J106">
        <v>74.06</v>
      </c>
      <c r="K106">
        <v>5</v>
      </c>
      <c r="L106">
        <v>1125.71</v>
      </c>
      <c r="M106">
        <f t="shared" si="1"/>
        <v>1125.712</v>
      </c>
    </row>
    <row r="107" spans="1:13" x14ac:dyDescent="0.3">
      <c r="A107" t="s">
        <v>164</v>
      </c>
      <c r="B107" s="1">
        <v>45708</v>
      </c>
      <c r="C107" t="s">
        <v>55</v>
      </c>
      <c r="D107" t="s">
        <v>14</v>
      </c>
      <c r="E107" t="s">
        <v>47</v>
      </c>
      <c r="F107" t="s">
        <v>48</v>
      </c>
      <c r="G107" t="s">
        <v>17</v>
      </c>
      <c r="H107" t="s">
        <v>18</v>
      </c>
      <c r="I107">
        <v>29</v>
      </c>
      <c r="J107">
        <v>172.73</v>
      </c>
      <c r="K107">
        <v>5</v>
      </c>
      <c r="L107">
        <v>4758.71</v>
      </c>
      <c r="M107">
        <f t="shared" si="1"/>
        <v>4758.7114999999994</v>
      </c>
    </row>
    <row r="108" spans="1:13" x14ac:dyDescent="0.3">
      <c r="A108" t="s">
        <v>165</v>
      </c>
      <c r="B108" s="1">
        <v>45997</v>
      </c>
      <c r="C108" t="s">
        <v>63</v>
      </c>
      <c r="D108" t="s">
        <v>64</v>
      </c>
      <c r="E108" t="s">
        <v>29</v>
      </c>
      <c r="F108" t="s">
        <v>30</v>
      </c>
      <c r="G108" t="s">
        <v>17</v>
      </c>
      <c r="H108" t="s">
        <v>31</v>
      </c>
      <c r="I108">
        <v>25</v>
      </c>
      <c r="J108">
        <v>299.16000000000003</v>
      </c>
      <c r="K108">
        <v>0</v>
      </c>
      <c r="L108">
        <v>7479</v>
      </c>
      <c r="M108">
        <f t="shared" si="1"/>
        <v>7479.0000000000009</v>
      </c>
    </row>
    <row r="109" spans="1:13" x14ac:dyDescent="0.3">
      <c r="A109" t="s">
        <v>166</v>
      </c>
      <c r="B109" s="1">
        <v>45700</v>
      </c>
      <c r="C109" t="s">
        <v>24</v>
      </c>
      <c r="D109" t="s">
        <v>14</v>
      </c>
      <c r="E109" t="s">
        <v>29</v>
      </c>
      <c r="F109" t="s">
        <v>30</v>
      </c>
      <c r="G109" t="s">
        <v>25</v>
      </c>
      <c r="H109" t="s">
        <v>31</v>
      </c>
      <c r="I109">
        <v>22</v>
      </c>
      <c r="J109">
        <v>63.02</v>
      </c>
      <c r="K109">
        <v>10</v>
      </c>
      <c r="L109">
        <v>1247.8</v>
      </c>
      <c r="M109">
        <f t="shared" si="1"/>
        <v>1247.796</v>
      </c>
    </row>
    <row r="110" spans="1:13" x14ac:dyDescent="0.3">
      <c r="A110" t="s">
        <v>167</v>
      </c>
      <c r="B110" s="1">
        <v>45665</v>
      </c>
      <c r="C110" t="s">
        <v>79</v>
      </c>
      <c r="D110" t="s">
        <v>43</v>
      </c>
      <c r="E110" t="s">
        <v>34</v>
      </c>
      <c r="F110" t="s">
        <v>35</v>
      </c>
      <c r="G110" t="s">
        <v>22</v>
      </c>
      <c r="H110" t="s">
        <v>18</v>
      </c>
      <c r="I110">
        <v>26</v>
      </c>
      <c r="J110">
        <v>238.09</v>
      </c>
      <c r="K110">
        <v>10</v>
      </c>
      <c r="L110">
        <v>5571.31</v>
      </c>
      <c r="M110">
        <f t="shared" si="1"/>
        <v>5571.3060000000005</v>
      </c>
    </row>
    <row r="111" spans="1:13" x14ac:dyDescent="0.3">
      <c r="A111" t="s">
        <v>168</v>
      </c>
      <c r="B111" s="1">
        <v>45750</v>
      </c>
      <c r="C111" t="s">
        <v>71</v>
      </c>
      <c r="D111" t="s">
        <v>64</v>
      </c>
      <c r="E111" t="s">
        <v>60</v>
      </c>
      <c r="F111" t="s">
        <v>61</v>
      </c>
      <c r="G111" t="s">
        <v>37</v>
      </c>
      <c r="H111" t="s">
        <v>26</v>
      </c>
      <c r="I111">
        <v>4</v>
      </c>
      <c r="J111">
        <v>161.22999999999999</v>
      </c>
      <c r="K111">
        <v>10</v>
      </c>
      <c r="L111">
        <v>580.42999999999995</v>
      </c>
      <c r="M111">
        <f t="shared" si="1"/>
        <v>580.428</v>
      </c>
    </row>
    <row r="112" spans="1:13" x14ac:dyDescent="0.3">
      <c r="A112" t="s">
        <v>169</v>
      </c>
      <c r="B112" s="1">
        <v>45749</v>
      </c>
      <c r="C112" t="s">
        <v>79</v>
      </c>
      <c r="D112" t="s">
        <v>43</v>
      </c>
      <c r="E112" t="s">
        <v>39</v>
      </c>
      <c r="F112" t="s">
        <v>39</v>
      </c>
      <c r="G112" t="s">
        <v>17</v>
      </c>
      <c r="H112" t="s">
        <v>31</v>
      </c>
      <c r="I112">
        <v>20</v>
      </c>
      <c r="J112">
        <v>217.96</v>
      </c>
      <c r="K112">
        <v>20</v>
      </c>
      <c r="L112">
        <v>3487.36</v>
      </c>
      <c r="M112">
        <f t="shared" si="1"/>
        <v>3487.36</v>
      </c>
    </row>
    <row r="113" spans="1:13" x14ac:dyDescent="0.3">
      <c r="A113" t="s">
        <v>170</v>
      </c>
      <c r="B113" s="1">
        <v>46003</v>
      </c>
      <c r="C113" t="s">
        <v>20</v>
      </c>
      <c r="D113" t="s">
        <v>14</v>
      </c>
      <c r="E113" t="s">
        <v>47</v>
      </c>
      <c r="F113" t="s">
        <v>48</v>
      </c>
      <c r="G113" t="s">
        <v>17</v>
      </c>
      <c r="H113" t="s">
        <v>31</v>
      </c>
      <c r="I113">
        <v>2</v>
      </c>
      <c r="J113">
        <v>146</v>
      </c>
      <c r="K113">
        <v>15</v>
      </c>
      <c r="L113">
        <v>248.2</v>
      </c>
      <c r="M113">
        <f t="shared" si="1"/>
        <v>248.2</v>
      </c>
    </row>
    <row r="114" spans="1:13" x14ac:dyDescent="0.3">
      <c r="A114" t="s">
        <v>171</v>
      </c>
      <c r="B114" s="1">
        <v>45939</v>
      </c>
      <c r="C114" t="s">
        <v>45</v>
      </c>
      <c r="D114" t="s">
        <v>46</v>
      </c>
      <c r="E114" t="s">
        <v>39</v>
      </c>
      <c r="F114" t="s">
        <v>39</v>
      </c>
      <c r="G114" t="s">
        <v>17</v>
      </c>
      <c r="H114" t="s">
        <v>31</v>
      </c>
      <c r="I114">
        <v>27</v>
      </c>
      <c r="J114">
        <v>301.04000000000002</v>
      </c>
      <c r="K114">
        <v>0</v>
      </c>
      <c r="L114">
        <v>8128.08</v>
      </c>
      <c r="M114">
        <f t="shared" si="1"/>
        <v>8128.0800000000008</v>
      </c>
    </row>
    <row r="115" spans="1:13" x14ac:dyDescent="0.3">
      <c r="A115" t="s">
        <v>172</v>
      </c>
      <c r="B115" s="1">
        <v>45994</v>
      </c>
      <c r="C115" t="s">
        <v>55</v>
      </c>
      <c r="D115" t="s">
        <v>14</v>
      </c>
      <c r="E115" t="s">
        <v>73</v>
      </c>
      <c r="F115" t="s">
        <v>74</v>
      </c>
      <c r="G115" t="s">
        <v>25</v>
      </c>
      <c r="H115" t="s">
        <v>18</v>
      </c>
      <c r="I115">
        <v>25</v>
      </c>
      <c r="J115">
        <v>193.45</v>
      </c>
      <c r="K115">
        <v>20</v>
      </c>
      <c r="L115">
        <v>3869</v>
      </c>
      <c r="M115">
        <f t="shared" si="1"/>
        <v>3869</v>
      </c>
    </row>
    <row r="116" spans="1:13" x14ac:dyDescent="0.3">
      <c r="A116" t="s">
        <v>173</v>
      </c>
      <c r="B116" s="1">
        <v>45685</v>
      </c>
      <c r="C116" t="s">
        <v>20</v>
      </c>
      <c r="D116" t="s">
        <v>14</v>
      </c>
      <c r="E116" t="s">
        <v>15</v>
      </c>
      <c r="F116" t="s">
        <v>16</v>
      </c>
      <c r="G116" t="s">
        <v>17</v>
      </c>
      <c r="H116" t="s">
        <v>26</v>
      </c>
      <c r="I116">
        <v>4</v>
      </c>
      <c r="J116">
        <v>135.85</v>
      </c>
      <c r="K116">
        <v>5</v>
      </c>
      <c r="L116">
        <v>516.23</v>
      </c>
      <c r="M116">
        <f t="shared" si="1"/>
        <v>516.2299999999999</v>
      </c>
    </row>
    <row r="117" spans="1:13" x14ac:dyDescent="0.3">
      <c r="A117" t="s">
        <v>174</v>
      </c>
      <c r="B117" s="1">
        <v>45664</v>
      </c>
      <c r="C117" t="s">
        <v>13</v>
      </c>
      <c r="D117" t="s">
        <v>14</v>
      </c>
      <c r="E117" t="s">
        <v>60</v>
      </c>
      <c r="F117" t="s">
        <v>61</v>
      </c>
      <c r="G117" t="s">
        <v>25</v>
      </c>
      <c r="H117" t="s">
        <v>26</v>
      </c>
      <c r="I117">
        <v>27</v>
      </c>
      <c r="J117">
        <v>49.9</v>
      </c>
      <c r="K117">
        <v>10</v>
      </c>
      <c r="L117">
        <v>1212.57</v>
      </c>
      <c r="M117">
        <f t="shared" si="1"/>
        <v>1212.57</v>
      </c>
    </row>
    <row r="118" spans="1:13" x14ac:dyDescent="0.3">
      <c r="A118" t="s">
        <v>175</v>
      </c>
      <c r="B118" s="1">
        <v>45951</v>
      </c>
      <c r="C118" t="s">
        <v>89</v>
      </c>
      <c r="D118" t="s">
        <v>64</v>
      </c>
      <c r="E118" t="s">
        <v>56</v>
      </c>
      <c r="F118" t="s">
        <v>48</v>
      </c>
      <c r="G118" t="s">
        <v>25</v>
      </c>
      <c r="H118" t="s">
        <v>18</v>
      </c>
      <c r="I118">
        <v>16</v>
      </c>
      <c r="J118">
        <v>99.67</v>
      </c>
      <c r="K118">
        <v>5</v>
      </c>
      <c r="L118">
        <v>1514.98</v>
      </c>
      <c r="M118">
        <f t="shared" si="1"/>
        <v>1514.9839999999999</v>
      </c>
    </row>
    <row r="119" spans="1:13" x14ac:dyDescent="0.3">
      <c r="A119" t="s">
        <v>176</v>
      </c>
      <c r="B119" s="1">
        <v>45696</v>
      </c>
      <c r="C119" t="s">
        <v>89</v>
      </c>
      <c r="D119" t="s">
        <v>64</v>
      </c>
      <c r="E119" t="s">
        <v>21</v>
      </c>
      <c r="F119" t="s">
        <v>16</v>
      </c>
      <c r="G119" t="s">
        <v>22</v>
      </c>
      <c r="H119" t="s">
        <v>26</v>
      </c>
      <c r="I119">
        <v>24</v>
      </c>
      <c r="J119">
        <v>107.3</v>
      </c>
      <c r="K119">
        <v>5</v>
      </c>
      <c r="L119">
        <v>2446.44</v>
      </c>
      <c r="M119">
        <f t="shared" si="1"/>
        <v>2446.4399999999996</v>
      </c>
    </row>
    <row r="120" spans="1:13" x14ac:dyDescent="0.3">
      <c r="A120" t="s">
        <v>177</v>
      </c>
      <c r="B120" s="1">
        <v>45802</v>
      </c>
      <c r="C120" t="s">
        <v>55</v>
      </c>
      <c r="D120" t="s">
        <v>14</v>
      </c>
      <c r="E120" t="s">
        <v>101</v>
      </c>
      <c r="F120" t="s">
        <v>16</v>
      </c>
      <c r="G120" t="s">
        <v>22</v>
      </c>
      <c r="H120" t="s">
        <v>31</v>
      </c>
      <c r="I120">
        <v>27</v>
      </c>
      <c r="J120">
        <v>181.27</v>
      </c>
      <c r="K120">
        <v>0</v>
      </c>
      <c r="L120">
        <v>4894.29</v>
      </c>
      <c r="M120">
        <f t="shared" si="1"/>
        <v>4894.29</v>
      </c>
    </row>
    <row r="121" spans="1:13" x14ac:dyDescent="0.3">
      <c r="A121" t="s">
        <v>178</v>
      </c>
      <c r="B121" s="1">
        <v>45768</v>
      </c>
      <c r="C121" t="s">
        <v>69</v>
      </c>
      <c r="D121" t="s">
        <v>46</v>
      </c>
      <c r="E121" t="s">
        <v>15</v>
      </c>
      <c r="F121" t="s">
        <v>16</v>
      </c>
      <c r="G121" t="s">
        <v>17</v>
      </c>
      <c r="H121" t="s">
        <v>31</v>
      </c>
      <c r="I121">
        <v>4</v>
      </c>
      <c r="J121">
        <v>319.23</v>
      </c>
      <c r="K121">
        <v>5</v>
      </c>
      <c r="L121">
        <v>1213.07</v>
      </c>
      <c r="M121">
        <f t="shared" si="1"/>
        <v>1213.0740000000001</v>
      </c>
    </row>
    <row r="122" spans="1:13" x14ac:dyDescent="0.3">
      <c r="A122" t="s">
        <v>179</v>
      </c>
      <c r="B122" s="1">
        <v>45740</v>
      </c>
      <c r="C122" t="s">
        <v>71</v>
      </c>
      <c r="D122" t="s">
        <v>64</v>
      </c>
      <c r="E122" t="s">
        <v>47</v>
      </c>
      <c r="F122" t="s">
        <v>48</v>
      </c>
      <c r="G122" t="s">
        <v>25</v>
      </c>
      <c r="H122" t="s">
        <v>18</v>
      </c>
      <c r="I122">
        <v>9</v>
      </c>
      <c r="J122">
        <v>152.6</v>
      </c>
      <c r="K122">
        <v>15</v>
      </c>
      <c r="L122">
        <v>1167.3900000000001</v>
      </c>
      <c r="M122">
        <f t="shared" si="1"/>
        <v>1167.3899999999999</v>
      </c>
    </row>
    <row r="123" spans="1:13" x14ac:dyDescent="0.3">
      <c r="A123" t="s">
        <v>180</v>
      </c>
      <c r="B123" s="1">
        <v>45972</v>
      </c>
      <c r="C123" t="s">
        <v>20</v>
      </c>
      <c r="D123" t="s">
        <v>14</v>
      </c>
      <c r="E123" t="s">
        <v>73</v>
      </c>
      <c r="F123" t="s">
        <v>74</v>
      </c>
      <c r="G123" t="s">
        <v>17</v>
      </c>
      <c r="H123" t="s">
        <v>31</v>
      </c>
      <c r="I123">
        <v>21</v>
      </c>
      <c r="J123">
        <v>149.22999999999999</v>
      </c>
      <c r="K123">
        <v>5</v>
      </c>
      <c r="L123">
        <v>2977.14</v>
      </c>
      <c r="M123">
        <f t="shared" si="1"/>
        <v>2977.1384999999996</v>
      </c>
    </row>
    <row r="124" spans="1:13" x14ac:dyDescent="0.3">
      <c r="A124" t="s">
        <v>181</v>
      </c>
      <c r="B124" s="1">
        <v>45855</v>
      </c>
      <c r="C124" t="s">
        <v>69</v>
      </c>
      <c r="D124" t="s">
        <v>46</v>
      </c>
      <c r="E124" t="s">
        <v>47</v>
      </c>
      <c r="F124" t="s">
        <v>48</v>
      </c>
      <c r="G124" t="s">
        <v>17</v>
      </c>
      <c r="H124" t="s">
        <v>26</v>
      </c>
      <c r="I124">
        <v>2</v>
      </c>
      <c r="J124">
        <v>279.47000000000003</v>
      </c>
      <c r="K124">
        <v>20</v>
      </c>
      <c r="L124">
        <v>447.15</v>
      </c>
      <c r="M124">
        <f t="shared" si="1"/>
        <v>447.15200000000004</v>
      </c>
    </row>
    <row r="125" spans="1:13" x14ac:dyDescent="0.3">
      <c r="A125" t="s">
        <v>182</v>
      </c>
      <c r="B125" s="1">
        <v>45904</v>
      </c>
      <c r="C125" t="s">
        <v>86</v>
      </c>
      <c r="D125" t="s">
        <v>14</v>
      </c>
      <c r="E125" t="s">
        <v>56</v>
      </c>
      <c r="F125" t="s">
        <v>48</v>
      </c>
      <c r="G125" t="s">
        <v>37</v>
      </c>
      <c r="H125" t="s">
        <v>31</v>
      </c>
      <c r="I125">
        <v>12</v>
      </c>
      <c r="J125">
        <v>68.819999999999993</v>
      </c>
      <c r="K125">
        <v>0</v>
      </c>
      <c r="L125">
        <v>825.84</v>
      </c>
      <c r="M125">
        <f t="shared" si="1"/>
        <v>825.83999999999992</v>
      </c>
    </row>
    <row r="126" spans="1:13" x14ac:dyDescent="0.3">
      <c r="A126" t="s">
        <v>183</v>
      </c>
      <c r="B126" s="1">
        <v>45877</v>
      </c>
      <c r="C126" t="s">
        <v>89</v>
      </c>
      <c r="D126" t="s">
        <v>64</v>
      </c>
      <c r="E126" t="s">
        <v>21</v>
      </c>
      <c r="F126" t="s">
        <v>16</v>
      </c>
      <c r="G126" t="s">
        <v>22</v>
      </c>
      <c r="H126" t="s">
        <v>26</v>
      </c>
      <c r="I126">
        <v>5</v>
      </c>
      <c r="J126">
        <v>120.94</v>
      </c>
      <c r="K126">
        <v>5</v>
      </c>
      <c r="L126">
        <v>574.46</v>
      </c>
      <c r="M126">
        <f t="shared" si="1"/>
        <v>574.46500000000003</v>
      </c>
    </row>
    <row r="127" spans="1:13" x14ac:dyDescent="0.3">
      <c r="A127" t="s">
        <v>184</v>
      </c>
      <c r="B127" s="1">
        <v>45719</v>
      </c>
      <c r="C127" t="s">
        <v>33</v>
      </c>
      <c r="D127" t="s">
        <v>14</v>
      </c>
      <c r="E127" t="s">
        <v>15</v>
      </c>
      <c r="F127" t="s">
        <v>16</v>
      </c>
      <c r="G127" t="s">
        <v>22</v>
      </c>
      <c r="H127" t="s">
        <v>31</v>
      </c>
      <c r="I127">
        <v>23</v>
      </c>
      <c r="J127">
        <v>114.19</v>
      </c>
      <c r="K127">
        <v>10</v>
      </c>
      <c r="L127">
        <v>2363.73</v>
      </c>
      <c r="M127">
        <f t="shared" si="1"/>
        <v>2363.7330000000002</v>
      </c>
    </row>
    <row r="128" spans="1:13" x14ac:dyDescent="0.3">
      <c r="A128" t="s">
        <v>185</v>
      </c>
      <c r="B128" s="1">
        <v>45957</v>
      </c>
      <c r="C128" t="s">
        <v>55</v>
      </c>
      <c r="D128" t="s">
        <v>14</v>
      </c>
      <c r="E128" t="s">
        <v>39</v>
      </c>
      <c r="F128" t="s">
        <v>39</v>
      </c>
      <c r="G128" t="s">
        <v>22</v>
      </c>
      <c r="H128" t="s">
        <v>18</v>
      </c>
      <c r="I128">
        <v>9</v>
      </c>
      <c r="J128">
        <v>179.16</v>
      </c>
      <c r="K128">
        <v>20</v>
      </c>
      <c r="L128">
        <v>1289.95</v>
      </c>
      <c r="M128">
        <f t="shared" si="1"/>
        <v>1289.9520000000002</v>
      </c>
    </row>
    <row r="129" spans="1:13" x14ac:dyDescent="0.3">
      <c r="A129" t="s">
        <v>186</v>
      </c>
      <c r="B129" s="1">
        <v>45677</v>
      </c>
      <c r="C129" t="s">
        <v>104</v>
      </c>
      <c r="D129" t="s">
        <v>14</v>
      </c>
      <c r="E129" t="s">
        <v>47</v>
      </c>
      <c r="F129" t="s">
        <v>48</v>
      </c>
      <c r="G129" t="s">
        <v>25</v>
      </c>
      <c r="H129" t="s">
        <v>31</v>
      </c>
      <c r="I129">
        <v>5</v>
      </c>
      <c r="J129">
        <v>216.72</v>
      </c>
      <c r="K129">
        <v>0</v>
      </c>
      <c r="L129">
        <v>1083.5999999999999</v>
      </c>
      <c r="M129">
        <f t="shared" si="1"/>
        <v>1083.5999999999999</v>
      </c>
    </row>
    <row r="130" spans="1:13" x14ac:dyDescent="0.3">
      <c r="A130" t="s">
        <v>187</v>
      </c>
      <c r="B130" s="1">
        <v>45796</v>
      </c>
      <c r="C130" t="s">
        <v>63</v>
      </c>
      <c r="D130" t="s">
        <v>64</v>
      </c>
      <c r="E130" t="s">
        <v>52</v>
      </c>
      <c r="F130" t="s">
        <v>53</v>
      </c>
      <c r="G130" t="s">
        <v>22</v>
      </c>
      <c r="H130" t="s">
        <v>26</v>
      </c>
      <c r="I130">
        <v>27</v>
      </c>
      <c r="J130">
        <v>295</v>
      </c>
      <c r="K130">
        <v>20</v>
      </c>
      <c r="L130">
        <v>6372</v>
      </c>
      <c r="M130">
        <f t="shared" ref="M130:M193" si="2">I130*J130*(1-K130/100)</f>
        <v>6372</v>
      </c>
    </row>
    <row r="131" spans="1:13" x14ac:dyDescent="0.3">
      <c r="A131" t="s">
        <v>188</v>
      </c>
      <c r="B131" s="1">
        <v>45667</v>
      </c>
      <c r="C131" t="s">
        <v>42</v>
      </c>
      <c r="D131" t="s">
        <v>43</v>
      </c>
      <c r="E131" t="s">
        <v>15</v>
      </c>
      <c r="F131" t="s">
        <v>16</v>
      </c>
      <c r="G131" t="s">
        <v>17</v>
      </c>
      <c r="H131" t="s">
        <v>18</v>
      </c>
      <c r="I131">
        <v>4</v>
      </c>
      <c r="J131">
        <v>136.55000000000001</v>
      </c>
      <c r="K131">
        <v>5</v>
      </c>
      <c r="L131">
        <v>518.89</v>
      </c>
      <c r="M131">
        <f t="shared" si="2"/>
        <v>518.89</v>
      </c>
    </row>
    <row r="132" spans="1:13" x14ac:dyDescent="0.3">
      <c r="A132" t="s">
        <v>189</v>
      </c>
      <c r="B132" s="1">
        <v>45978</v>
      </c>
      <c r="C132" t="s">
        <v>104</v>
      </c>
      <c r="D132" t="s">
        <v>14</v>
      </c>
      <c r="E132" t="s">
        <v>56</v>
      </c>
      <c r="F132" t="s">
        <v>48</v>
      </c>
      <c r="G132" t="s">
        <v>25</v>
      </c>
      <c r="H132" t="s">
        <v>31</v>
      </c>
      <c r="I132">
        <v>14</v>
      </c>
      <c r="J132">
        <v>228.12</v>
      </c>
      <c r="K132">
        <v>15</v>
      </c>
      <c r="L132">
        <v>2714.63</v>
      </c>
      <c r="M132">
        <f t="shared" si="2"/>
        <v>2714.6280000000002</v>
      </c>
    </row>
    <row r="133" spans="1:13" x14ac:dyDescent="0.3">
      <c r="A133" t="s">
        <v>190</v>
      </c>
      <c r="B133" s="1">
        <v>45751</v>
      </c>
      <c r="C133" t="s">
        <v>42</v>
      </c>
      <c r="D133" t="s">
        <v>43</v>
      </c>
      <c r="E133" t="s">
        <v>29</v>
      </c>
      <c r="F133" t="s">
        <v>30</v>
      </c>
      <c r="G133" t="s">
        <v>17</v>
      </c>
      <c r="H133" t="s">
        <v>26</v>
      </c>
      <c r="I133">
        <v>10</v>
      </c>
      <c r="J133">
        <v>152.87</v>
      </c>
      <c r="K133">
        <v>10</v>
      </c>
      <c r="L133">
        <v>1375.83</v>
      </c>
      <c r="M133">
        <f t="shared" si="2"/>
        <v>1375.8300000000002</v>
      </c>
    </row>
    <row r="134" spans="1:13" x14ac:dyDescent="0.3">
      <c r="A134" t="s">
        <v>191</v>
      </c>
      <c r="B134" s="1">
        <v>45794</v>
      </c>
      <c r="C134" t="s">
        <v>42</v>
      </c>
      <c r="D134" t="s">
        <v>43</v>
      </c>
      <c r="E134" t="s">
        <v>101</v>
      </c>
      <c r="F134" t="s">
        <v>16</v>
      </c>
      <c r="G134" t="s">
        <v>17</v>
      </c>
      <c r="H134" t="s">
        <v>31</v>
      </c>
      <c r="I134">
        <v>29</v>
      </c>
      <c r="J134">
        <v>163.95</v>
      </c>
      <c r="K134">
        <v>20</v>
      </c>
      <c r="L134">
        <v>3803.64</v>
      </c>
      <c r="M134">
        <f t="shared" si="2"/>
        <v>3803.6399999999994</v>
      </c>
    </row>
    <row r="135" spans="1:13" x14ac:dyDescent="0.3">
      <c r="A135" t="s">
        <v>192</v>
      </c>
      <c r="B135" s="1">
        <v>45977</v>
      </c>
      <c r="C135" t="s">
        <v>81</v>
      </c>
      <c r="D135" t="s">
        <v>64</v>
      </c>
      <c r="E135" t="s">
        <v>52</v>
      </c>
      <c r="F135" t="s">
        <v>53</v>
      </c>
      <c r="G135" t="s">
        <v>22</v>
      </c>
      <c r="H135" t="s">
        <v>18</v>
      </c>
      <c r="I135">
        <v>2</v>
      </c>
      <c r="J135">
        <v>125.79</v>
      </c>
      <c r="K135">
        <v>15</v>
      </c>
      <c r="L135">
        <v>213.84</v>
      </c>
      <c r="M135">
        <f t="shared" si="2"/>
        <v>213.84300000000002</v>
      </c>
    </row>
    <row r="136" spans="1:13" x14ac:dyDescent="0.3">
      <c r="A136" t="s">
        <v>193</v>
      </c>
      <c r="B136" s="1">
        <v>45870</v>
      </c>
      <c r="C136" t="s">
        <v>69</v>
      </c>
      <c r="D136" t="s">
        <v>46</v>
      </c>
      <c r="E136" t="s">
        <v>60</v>
      </c>
      <c r="F136" t="s">
        <v>61</v>
      </c>
      <c r="G136" t="s">
        <v>22</v>
      </c>
      <c r="H136" t="s">
        <v>26</v>
      </c>
      <c r="I136">
        <v>6</v>
      </c>
      <c r="J136">
        <v>291.5</v>
      </c>
      <c r="K136">
        <v>10</v>
      </c>
      <c r="L136">
        <v>1574.1</v>
      </c>
      <c r="M136">
        <f t="shared" si="2"/>
        <v>1574.1000000000001</v>
      </c>
    </row>
    <row r="137" spans="1:13" x14ac:dyDescent="0.3">
      <c r="A137" t="s">
        <v>194</v>
      </c>
      <c r="B137" s="1">
        <v>45746</v>
      </c>
      <c r="C137" t="s">
        <v>104</v>
      </c>
      <c r="D137" t="s">
        <v>14</v>
      </c>
      <c r="E137" t="s">
        <v>29</v>
      </c>
      <c r="F137" t="s">
        <v>30</v>
      </c>
      <c r="G137" t="s">
        <v>22</v>
      </c>
      <c r="H137" t="s">
        <v>18</v>
      </c>
      <c r="I137">
        <v>15</v>
      </c>
      <c r="J137">
        <v>221.01</v>
      </c>
      <c r="K137">
        <v>15</v>
      </c>
      <c r="L137">
        <v>2817.88</v>
      </c>
      <c r="M137">
        <f t="shared" si="2"/>
        <v>2817.8774999999996</v>
      </c>
    </row>
    <row r="138" spans="1:13" x14ac:dyDescent="0.3">
      <c r="A138" t="s">
        <v>195</v>
      </c>
      <c r="B138" s="1">
        <v>45782</v>
      </c>
      <c r="C138" t="s">
        <v>69</v>
      </c>
      <c r="D138" t="s">
        <v>46</v>
      </c>
      <c r="E138" t="s">
        <v>66</v>
      </c>
      <c r="F138" t="s">
        <v>67</v>
      </c>
      <c r="G138" t="s">
        <v>17</v>
      </c>
      <c r="H138" t="s">
        <v>31</v>
      </c>
      <c r="I138">
        <v>9</v>
      </c>
      <c r="J138">
        <v>307.02</v>
      </c>
      <c r="K138">
        <v>10</v>
      </c>
      <c r="L138">
        <v>2486.86</v>
      </c>
      <c r="M138">
        <f t="shared" si="2"/>
        <v>2486.8620000000001</v>
      </c>
    </row>
    <row r="139" spans="1:13" x14ac:dyDescent="0.3">
      <c r="A139" t="s">
        <v>196</v>
      </c>
      <c r="B139" s="1">
        <v>45882</v>
      </c>
      <c r="C139" t="s">
        <v>86</v>
      </c>
      <c r="D139" t="s">
        <v>14</v>
      </c>
      <c r="E139" t="s">
        <v>101</v>
      </c>
      <c r="F139" t="s">
        <v>16</v>
      </c>
      <c r="G139" t="s">
        <v>22</v>
      </c>
      <c r="H139" t="s">
        <v>18</v>
      </c>
      <c r="I139">
        <v>16</v>
      </c>
      <c r="J139">
        <v>76.16</v>
      </c>
      <c r="K139">
        <v>0</v>
      </c>
      <c r="L139">
        <v>1218.56</v>
      </c>
      <c r="M139">
        <f t="shared" si="2"/>
        <v>1218.56</v>
      </c>
    </row>
    <row r="140" spans="1:13" x14ac:dyDescent="0.3">
      <c r="A140" t="s">
        <v>197</v>
      </c>
      <c r="B140" s="1">
        <v>45696</v>
      </c>
      <c r="C140" t="s">
        <v>42</v>
      </c>
      <c r="D140" t="s">
        <v>43</v>
      </c>
      <c r="E140" t="s">
        <v>56</v>
      </c>
      <c r="F140" t="s">
        <v>48</v>
      </c>
      <c r="G140" t="s">
        <v>25</v>
      </c>
      <c r="H140" t="s">
        <v>31</v>
      </c>
      <c r="I140">
        <v>22</v>
      </c>
      <c r="J140">
        <v>162.19</v>
      </c>
      <c r="K140">
        <v>10</v>
      </c>
      <c r="L140">
        <v>3211.36</v>
      </c>
      <c r="M140">
        <f t="shared" si="2"/>
        <v>3211.3620000000001</v>
      </c>
    </row>
    <row r="141" spans="1:13" x14ac:dyDescent="0.3">
      <c r="A141" t="s">
        <v>198</v>
      </c>
      <c r="B141" s="1">
        <v>45672</v>
      </c>
      <c r="C141" t="s">
        <v>89</v>
      </c>
      <c r="D141" t="s">
        <v>64</v>
      </c>
      <c r="E141" t="s">
        <v>47</v>
      </c>
      <c r="F141" t="s">
        <v>48</v>
      </c>
      <c r="G141" t="s">
        <v>25</v>
      </c>
      <c r="H141" t="s">
        <v>18</v>
      </c>
      <c r="I141">
        <v>8</v>
      </c>
      <c r="J141">
        <v>115.07</v>
      </c>
      <c r="K141">
        <v>5</v>
      </c>
      <c r="L141">
        <v>874.53</v>
      </c>
      <c r="M141">
        <f t="shared" si="2"/>
        <v>874.53199999999993</v>
      </c>
    </row>
    <row r="142" spans="1:13" x14ac:dyDescent="0.3">
      <c r="A142" t="s">
        <v>199</v>
      </c>
      <c r="B142" s="1">
        <v>45695</v>
      </c>
      <c r="C142" t="s">
        <v>42</v>
      </c>
      <c r="D142" t="s">
        <v>43</v>
      </c>
      <c r="E142" t="s">
        <v>101</v>
      </c>
      <c r="F142" t="s">
        <v>16</v>
      </c>
      <c r="G142" t="s">
        <v>37</v>
      </c>
      <c r="H142" t="s">
        <v>31</v>
      </c>
      <c r="I142">
        <v>8</v>
      </c>
      <c r="J142">
        <v>152.19</v>
      </c>
      <c r="K142">
        <v>20</v>
      </c>
      <c r="L142">
        <v>974.02</v>
      </c>
      <c r="M142">
        <f t="shared" si="2"/>
        <v>974.01600000000008</v>
      </c>
    </row>
    <row r="143" spans="1:13" x14ac:dyDescent="0.3">
      <c r="A143" t="s">
        <v>200</v>
      </c>
      <c r="B143" s="1">
        <v>45743</v>
      </c>
      <c r="C143" t="s">
        <v>55</v>
      </c>
      <c r="D143" t="s">
        <v>14</v>
      </c>
      <c r="E143" t="s">
        <v>101</v>
      </c>
      <c r="F143" t="s">
        <v>16</v>
      </c>
      <c r="G143" t="s">
        <v>17</v>
      </c>
      <c r="H143" t="s">
        <v>26</v>
      </c>
      <c r="I143">
        <v>28</v>
      </c>
      <c r="J143">
        <v>188.78</v>
      </c>
      <c r="K143">
        <v>15</v>
      </c>
      <c r="L143">
        <v>4492.96</v>
      </c>
      <c r="M143">
        <f t="shared" si="2"/>
        <v>4492.9639999999999</v>
      </c>
    </row>
    <row r="144" spans="1:13" x14ac:dyDescent="0.3">
      <c r="A144" t="s">
        <v>201</v>
      </c>
      <c r="B144" s="1">
        <v>45816</v>
      </c>
      <c r="C144" t="s">
        <v>81</v>
      </c>
      <c r="D144" t="s">
        <v>64</v>
      </c>
      <c r="E144" t="s">
        <v>66</v>
      </c>
      <c r="F144" t="s">
        <v>67</v>
      </c>
      <c r="G144" t="s">
        <v>17</v>
      </c>
      <c r="H144" t="s">
        <v>18</v>
      </c>
      <c r="I144">
        <v>11</v>
      </c>
      <c r="J144">
        <v>116.21</v>
      </c>
      <c r="K144">
        <v>20</v>
      </c>
      <c r="L144">
        <v>1022.65</v>
      </c>
      <c r="M144">
        <f t="shared" si="2"/>
        <v>1022.648</v>
      </c>
    </row>
    <row r="145" spans="1:13" x14ac:dyDescent="0.3">
      <c r="A145" t="s">
        <v>202</v>
      </c>
      <c r="B145" s="1">
        <v>45704</v>
      </c>
      <c r="C145" t="s">
        <v>42</v>
      </c>
      <c r="D145" t="s">
        <v>43</v>
      </c>
      <c r="E145" t="s">
        <v>15</v>
      </c>
      <c r="F145" t="s">
        <v>16</v>
      </c>
      <c r="G145" t="s">
        <v>17</v>
      </c>
      <c r="H145" t="s">
        <v>18</v>
      </c>
      <c r="I145">
        <v>30</v>
      </c>
      <c r="J145">
        <v>151.19999999999999</v>
      </c>
      <c r="K145">
        <v>20</v>
      </c>
      <c r="L145">
        <v>3628.8</v>
      </c>
      <c r="M145">
        <f t="shared" si="2"/>
        <v>3628.8</v>
      </c>
    </row>
    <row r="146" spans="1:13" x14ac:dyDescent="0.3">
      <c r="A146" t="s">
        <v>203</v>
      </c>
      <c r="B146" s="1">
        <v>45949</v>
      </c>
      <c r="C146" t="s">
        <v>71</v>
      </c>
      <c r="D146" t="s">
        <v>64</v>
      </c>
      <c r="E146" t="s">
        <v>52</v>
      </c>
      <c r="F146" t="s">
        <v>53</v>
      </c>
      <c r="G146" t="s">
        <v>17</v>
      </c>
      <c r="H146" t="s">
        <v>31</v>
      </c>
      <c r="I146">
        <v>28</v>
      </c>
      <c r="J146">
        <v>154.22999999999999</v>
      </c>
      <c r="K146">
        <v>10</v>
      </c>
      <c r="L146">
        <v>3886.6</v>
      </c>
      <c r="M146">
        <f t="shared" si="2"/>
        <v>3886.5959999999995</v>
      </c>
    </row>
    <row r="147" spans="1:13" x14ac:dyDescent="0.3">
      <c r="A147" t="s">
        <v>204</v>
      </c>
      <c r="B147" s="1">
        <v>46017</v>
      </c>
      <c r="C147" t="s">
        <v>20</v>
      </c>
      <c r="D147" t="s">
        <v>14</v>
      </c>
      <c r="E147" t="s">
        <v>34</v>
      </c>
      <c r="F147" t="s">
        <v>35</v>
      </c>
      <c r="G147" t="s">
        <v>22</v>
      </c>
      <c r="H147" t="s">
        <v>26</v>
      </c>
      <c r="I147">
        <v>21</v>
      </c>
      <c r="J147">
        <v>135.77000000000001</v>
      </c>
      <c r="K147">
        <v>5</v>
      </c>
      <c r="L147">
        <v>2708.61</v>
      </c>
      <c r="M147">
        <f t="shared" si="2"/>
        <v>2708.6115</v>
      </c>
    </row>
    <row r="148" spans="1:13" x14ac:dyDescent="0.3">
      <c r="A148" t="s">
        <v>205</v>
      </c>
      <c r="B148" s="1">
        <v>45875</v>
      </c>
      <c r="C148" t="s">
        <v>86</v>
      </c>
      <c r="D148" t="s">
        <v>14</v>
      </c>
      <c r="E148" t="s">
        <v>47</v>
      </c>
      <c r="F148" t="s">
        <v>48</v>
      </c>
      <c r="G148" t="s">
        <v>37</v>
      </c>
      <c r="H148" t="s">
        <v>18</v>
      </c>
      <c r="I148">
        <v>16</v>
      </c>
      <c r="J148">
        <v>71.819999999999993</v>
      </c>
      <c r="K148">
        <v>10</v>
      </c>
      <c r="L148">
        <v>1034.21</v>
      </c>
      <c r="M148">
        <f t="shared" si="2"/>
        <v>1034.2079999999999</v>
      </c>
    </row>
    <row r="149" spans="1:13" x14ac:dyDescent="0.3">
      <c r="A149" t="s">
        <v>206</v>
      </c>
      <c r="B149" s="1">
        <v>45828</v>
      </c>
      <c r="C149" t="s">
        <v>69</v>
      </c>
      <c r="D149" t="s">
        <v>46</v>
      </c>
      <c r="E149" t="s">
        <v>60</v>
      </c>
      <c r="F149" t="s">
        <v>61</v>
      </c>
      <c r="G149" t="s">
        <v>25</v>
      </c>
      <c r="H149" t="s">
        <v>31</v>
      </c>
      <c r="I149">
        <v>26</v>
      </c>
      <c r="J149">
        <v>294.87</v>
      </c>
      <c r="K149">
        <v>15</v>
      </c>
      <c r="L149">
        <v>6516.63</v>
      </c>
      <c r="M149">
        <f t="shared" si="2"/>
        <v>6516.6269999999995</v>
      </c>
    </row>
    <row r="150" spans="1:13" x14ac:dyDescent="0.3">
      <c r="A150" t="s">
        <v>207</v>
      </c>
      <c r="B150" s="1">
        <v>45749</v>
      </c>
      <c r="C150" t="s">
        <v>28</v>
      </c>
      <c r="D150" t="s">
        <v>14</v>
      </c>
      <c r="E150" t="s">
        <v>52</v>
      </c>
      <c r="F150" t="s">
        <v>53</v>
      </c>
      <c r="G150" t="s">
        <v>37</v>
      </c>
      <c r="H150" t="s">
        <v>26</v>
      </c>
      <c r="I150">
        <v>25</v>
      </c>
      <c r="J150">
        <v>189.97</v>
      </c>
      <c r="K150">
        <v>5</v>
      </c>
      <c r="L150">
        <v>4511.79</v>
      </c>
      <c r="M150">
        <f t="shared" si="2"/>
        <v>4511.7874999999995</v>
      </c>
    </row>
    <row r="151" spans="1:13" x14ac:dyDescent="0.3">
      <c r="A151" t="s">
        <v>208</v>
      </c>
      <c r="B151" s="1">
        <v>45871</v>
      </c>
      <c r="C151" t="s">
        <v>42</v>
      </c>
      <c r="D151" t="s">
        <v>43</v>
      </c>
      <c r="E151" t="s">
        <v>66</v>
      </c>
      <c r="F151" t="s">
        <v>67</v>
      </c>
      <c r="G151" t="s">
        <v>17</v>
      </c>
      <c r="H151" t="s">
        <v>31</v>
      </c>
      <c r="I151">
        <v>20</v>
      </c>
      <c r="J151">
        <v>157.09</v>
      </c>
      <c r="K151">
        <v>0</v>
      </c>
      <c r="L151">
        <v>3141.8</v>
      </c>
      <c r="M151">
        <f t="shared" si="2"/>
        <v>3141.8</v>
      </c>
    </row>
    <row r="152" spans="1:13" x14ac:dyDescent="0.3">
      <c r="A152" t="s">
        <v>209</v>
      </c>
      <c r="B152" s="1">
        <v>45839</v>
      </c>
      <c r="C152" t="s">
        <v>33</v>
      </c>
      <c r="D152" t="s">
        <v>14</v>
      </c>
      <c r="E152" t="s">
        <v>56</v>
      </c>
      <c r="F152" t="s">
        <v>48</v>
      </c>
      <c r="G152" t="s">
        <v>17</v>
      </c>
      <c r="H152" t="s">
        <v>31</v>
      </c>
      <c r="I152">
        <v>6</v>
      </c>
      <c r="J152">
        <v>131.63999999999999</v>
      </c>
      <c r="K152">
        <v>15</v>
      </c>
      <c r="L152">
        <v>671.36</v>
      </c>
      <c r="M152">
        <f t="shared" si="2"/>
        <v>671.36399999999992</v>
      </c>
    </row>
    <row r="153" spans="1:13" x14ac:dyDescent="0.3">
      <c r="A153" t="s">
        <v>210</v>
      </c>
      <c r="B153" s="1">
        <v>45966</v>
      </c>
      <c r="C153" t="s">
        <v>13</v>
      </c>
      <c r="D153" t="s">
        <v>14</v>
      </c>
      <c r="E153" t="s">
        <v>73</v>
      </c>
      <c r="F153" t="s">
        <v>74</v>
      </c>
      <c r="G153" t="s">
        <v>17</v>
      </c>
      <c r="H153" t="s">
        <v>18</v>
      </c>
      <c r="I153">
        <v>23</v>
      </c>
      <c r="J153">
        <v>55.21</v>
      </c>
      <c r="K153">
        <v>20</v>
      </c>
      <c r="L153">
        <v>1015.86</v>
      </c>
      <c r="M153">
        <f t="shared" si="2"/>
        <v>1015.864</v>
      </c>
    </row>
    <row r="154" spans="1:13" x14ac:dyDescent="0.3">
      <c r="A154" t="s">
        <v>211</v>
      </c>
      <c r="B154" s="1">
        <v>45720</v>
      </c>
      <c r="C154" t="s">
        <v>55</v>
      </c>
      <c r="D154" t="s">
        <v>14</v>
      </c>
      <c r="E154" t="s">
        <v>66</v>
      </c>
      <c r="F154" t="s">
        <v>67</v>
      </c>
      <c r="G154" t="s">
        <v>37</v>
      </c>
      <c r="H154" t="s">
        <v>26</v>
      </c>
      <c r="I154">
        <v>22</v>
      </c>
      <c r="J154">
        <v>183.73</v>
      </c>
      <c r="K154">
        <v>10</v>
      </c>
      <c r="L154">
        <v>3637.85</v>
      </c>
      <c r="M154">
        <f t="shared" si="2"/>
        <v>3637.8539999999998</v>
      </c>
    </row>
    <row r="155" spans="1:13" x14ac:dyDescent="0.3">
      <c r="A155" t="s">
        <v>212</v>
      </c>
      <c r="B155" s="1">
        <v>46004</v>
      </c>
      <c r="C155" t="s">
        <v>71</v>
      </c>
      <c r="D155" t="s">
        <v>64</v>
      </c>
      <c r="E155" t="s">
        <v>73</v>
      </c>
      <c r="F155" t="s">
        <v>74</v>
      </c>
      <c r="G155" t="s">
        <v>25</v>
      </c>
      <c r="H155" t="s">
        <v>18</v>
      </c>
      <c r="I155">
        <v>7</v>
      </c>
      <c r="J155">
        <v>145.38999999999999</v>
      </c>
      <c r="K155">
        <v>5</v>
      </c>
      <c r="L155">
        <v>966.84</v>
      </c>
      <c r="M155">
        <f t="shared" si="2"/>
        <v>966.84349999999984</v>
      </c>
    </row>
    <row r="156" spans="1:13" x14ac:dyDescent="0.3">
      <c r="A156" t="s">
        <v>213</v>
      </c>
      <c r="B156" s="1">
        <v>45837</v>
      </c>
      <c r="C156" t="s">
        <v>63</v>
      </c>
      <c r="D156" t="s">
        <v>64</v>
      </c>
      <c r="E156" t="s">
        <v>34</v>
      </c>
      <c r="F156" t="s">
        <v>35</v>
      </c>
      <c r="G156" t="s">
        <v>22</v>
      </c>
      <c r="H156" t="s">
        <v>18</v>
      </c>
      <c r="I156">
        <v>20</v>
      </c>
      <c r="J156">
        <v>265.89999999999998</v>
      </c>
      <c r="K156">
        <v>0</v>
      </c>
      <c r="L156">
        <v>5318</v>
      </c>
      <c r="M156">
        <f t="shared" si="2"/>
        <v>5318</v>
      </c>
    </row>
    <row r="157" spans="1:13" x14ac:dyDescent="0.3">
      <c r="A157" t="s">
        <v>214</v>
      </c>
      <c r="B157" s="1">
        <v>45807</v>
      </c>
      <c r="C157" t="s">
        <v>86</v>
      </c>
      <c r="D157" t="s">
        <v>14</v>
      </c>
      <c r="E157" t="s">
        <v>29</v>
      </c>
      <c r="F157" t="s">
        <v>30</v>
      </c>
      <c r="G157" t="s">
        <v>37</v>
      </c>
      <c r="H157" t="s">
        <v>26</v>
      </c>
      <c r="I157">
        <v>18</v>
      </c>
      <c r="J157">
        <v>79.209999999999994</v>
      </c>
      <c r="K157">
        <v>10</v>
      </c>
      <c r="L157">
        <v>1283.2</v>
      </c>
      <c r="M157">
        <f t="shared" si="2"/>
        <v>1283.202</v>
      </c>
    </row>
    <row r="158" spans="1:13" x14ac:dyDescent="0.3">
      <c r="A158" t="s">
        <v>215</v>
      </c>
      <c r="B158" s="1">
        <v>46018</v>
      </c>
      <c r="C158" t="s">
        <v>20</v>
      </c>
      <c r="D158" t="s">
        <v>14</v>
      </c>
      <c r="E158" t="s">
        <v>52</v>
      </c>
      <c r="F158" t="s">
        <v>53</v>
      </c>
      <c r="G158" t="s">
        <v>25</v>
      </c>
      <c r="H158" t="s">
        <v>26</v>
      </c>
      <c r="I158">
        <v>18</v>
      </c>
      <c r="J158">
        <v>135.66</v>
      </c>
      <c r="K158">
        <v>15</v>
      </c>
      <c r="L158">
        <v>2075.6</v>
      </c>
      <c r="M158">
        <f t="shared" si="2"/>
        <v>2075.598</v>
      </c>
    </row>
    <row r="159" spans="1:13" x14ac:dyDescent="0.3">
      <c r="A159" t="s">
        <v>216</v>
      </c>
      <c r="B159" s="1">
        <v>45984</v>
      </c>
      <c r="C159" t="s">
        <v>63</v>
      </c>
      <c r="D159" t="s">
        <v>64</v>
      </c>
      <c r="E159" t="s">
        <v>15</v>
      </c>
      <c r="F159" t="s">
        <v>16</v>
      </c>
      <c r="G159" t="s">
        <v>25</v>
      </c>
      <c r="H159" t="s">
        <v>31</v>
      </c>
      <c r="I159">
        <v>29</v>
      </c>
      <c r="J159">
        <v>281.95999999999998</v>
      </c>
      <c r="K159">
        <v>0</v>
      </c>
      <c r="L159">
        <v>8176.84</v>
      </c>
      <c r="M159">
        <f t="shared" si="2"/>
        <v>8176.8399999999992</v>
      </c>
    </row>
    <row r="160" spans="1:13" x14ac:dyDescent="0.3">
      <c r="A160" t="s">
        <v>217</v>
      </c>
      <c r="B160" s="1">
        <v>45962</v>
      </c>
      <c r="C160" t="s">
        <v>63</v>
      </c>
      <c r="D160" t="s">
        <v>64</v>
      </c>
      <c r="E160" t="s">
        <v>56</v>
      </c>
      <c r="F160" t="s">
        <v>48</v>
      </c>
      <c r="G160" t="s">
        <v>22</v>
      </c>
      <c r="H160" t="s">
        <v>18</v>
      </c>
      <c r="I160">
        <v>25</v>
      </c>
      <c r="J160">
        <v>302.29000000000002</v>
      </c>
      <c r="K160">
        <v>20</v>
      </c>
      <c r="L160">
        <v>6045.8</v>
      </c>
      <c r="M160">
        <f t="shared" si="2"/>
        <v>6045.8000000000011</v>
      </c>
    </row>
    <row r="161" spans="1:13" x14ac:dyDescent="0.3">
      <c r="A161" t="s">
        <v>218</v>
      </c>
      <c r="B161" s="1">
        <v>45851</v>
      </c>
      <c r="C161" t="s">
        <v>69</v>
      </c>
      <c r="D161" t="s">
        <v>46</v>
      </c>
      <c r="E161" t="s">
        <v>60</v>
      </c>
      <c r="F161" t="s">
        <v>61</v>
      </c>
      <c r="G161" t="s">
        <v>22</v>
      </c>
      <c r="H161" t="s">
        <v>31</v>
      </c>
      <c r="I161">
        <v>2</v>
      </c>
      <c r="J161">
        <v>327.08</v>
      </c>
      <c r="K161">
        <v>5</v>
      </c>
      <c r="L161">
        <v>621.45000000000005</v>
      </c>
      <c r="M161">
        <f t="shared" si="2"/>
        <v>621.45199999999988</v>
      </c>
    </row>
    <row r="162" spans="1:13" x14ac:dyDescent="0.3">
      <c r="A162" t="s">
        <v>219</v>
      </c>
      <c r="B162" s="1">
        <v>45921</v>
      </c>
      <c r="C162" t="s">
        <v>86</v>
      </c>
      <c r="D162" t="s">
        <v>14</v>
      </c>
      <c r="E162" t="s">
        <v>52</v>
      </c>
      <c r="F162" t="s">
        <v>53</v>
      </c>
      <c r="G162" t="s">
        <v>17</v>
      </c>
      <c r="H162" t="s">
        <v>31</v>
      </c>
      <c r="I162">
        <v>7</v>
      </c>
      <c r="J162">
        <v>78.98</v>
      </c>
      <c r="K162">
        <v>15</v>
      </c>
      <c r="L162">
        <v>469.93</v>
      </c>
      <c r="M162">
        <f t="shared" si="2"/>
        <v>469.93099999999998</v>
      </c>
    </row>
    <row r="163" spans="1:13" x14ac:dyDescent="0.3">
      <c r="A163" t="s">
        <v>220</v>
      </c>
      <c r="B163" s="1">
        <v>45744</v>
      </c>
      <c r="C163" t="s">
        <v>69</v>
      </c>
      <c r="D163" t="s">
        <v>46</v>
      </c>
      <c r="E163" t="s">
        <v>56</v>
      </c>
      <c r="F163" t="s">
        <v>48</v>
      </c>
      <c r="G163" t="s">
        <v>22</v>
      </c>
      <c r="H163" t="s">
        <v>18</v>
      </c>
      <c r="I163">
        <v>11</v>
      </c>
      <c r="J163">
        <v>295.79000000000002</v>
      </c>
      <c r="K163">
        <v>5</v>
      </c>
      <c r="L163">
        <v>3091.01</v>
      </c>
      <c r="M163">
        <f t="shared" si="2"/>
        <v>3091.0054999999998</v>
      </c>
    </row>
    <row r="164" spans="1:13" x14ac:dyDescent="0.3">
      <c r="A164" t="s">
        <v>221</v>
      </c>
      <c r="B164" s="1">
        <v>45970</v>
      </c>
      <c r="C164" t="s">
        <v>13</v>
      </c>
      <c r="D164" t="s">
        <v>14</v>
      </c>
      <c r="E164" t="s">
        <v>52</v>
      </c>
      <c r="F164" t="s">
        <v>53</v>
      </c>
      <c r="G164" t="s">
        <v>37</v>
      </c>
      <c r="H164" t="s">
        <v>31</v>
      </c>
      <c r="I164">
        <v>8</v>
      </c>
      <c r="J164">
        <v>56.75</v>
      </c>
      <c r="K164">
        <v>0</v>
      </c>
      <c r="L164">
        <v>454</v>
      </c>
      <c r="M164">
        <f t="shared" si="2"/>
        <v>454</v>
      </c>
    </row>
    <row r="165" spans="1:13" x14ac:dyDescent="0.3">
      <c r="A165" t="s">
        <v>222</v>
      </c>
      <c r="B165" s="1">
        <v>45896</v>
      </c>
      <c r="C165" t="s">
        <v>13</v>
      </c>
      <c r="D165" t="s">
        <v>14</v>
      </c>
      <c r="E165" t="s">
        <v>21</v>
      </c>
      <c r="F165" t="s">
        <v>16</v>
      </c>
      <c r="G165" t="s">
        <v>37</v>
      </c>
      <c r="H165" t="s">
        <v>18</v>
      </c>
      <c r="I165">
        <v>28</v>
      </c>
      <c r="J165">
        <v>55.06</v>
      </c>
      <c r="K165">
        <v>0</v>
      </c>
      <c r="L165">
        <v>1541.68</v>
      </c>
      <c r="M165">
        <f t="shared" si="2"/>
        <v>1541.68</v>
      </c>
    </row>
    <row r="166" spans="1:13" x14ac:dyDescent="0.3">
      <c r="A166" t="s">
        <v>223</v>
      </c>
      <c r="B166" s="1">
        <v>45948</v>
      </c>
      <c r="C166" t="s">
        <v>104</v>
      </c>
      <c r="D166" t="s">
        <v>14</v>
      </c>
      <c r="E166" t="s">
        <v>21</v>
      </c>
      <c r="F166" t="s">
        <v>16</v>
      </c>
      <c r="G166" t="s">
        <v>22</v>
      </c>
      <c r="H166" t="s">
        <v>26</v>
      </c>
      <c r="I166">
        <v>29</v>
      </c>
      <c r="J166">
        <v>208.48</v>
      </c>
      <c r="K166">
        <v>5</v>
      </c>
      <c r="L166">
        <v>5743.62</v>
      </c>
      <c r="M166">
        <f t="shared" si="2"/>
        <v>5743.6239999999998</v>
      </c>
    </row>
    <row r="167" spans="1:13" x14ac:dyDescent="0.3">
      <c r="A167" t="s">
        <v>224</v>
      </c>
      <c r="B167" s="1">
        <v>45822</v>
      </c>
      <c r="C167" t="s">
        <v>79</v>
      </c>
      <c r="D167" t="s">
        <v>43</v>
      </c>
      <c r="E167" t="s">
        <v>60</v>
      </c>
      <c r="F167" t="s">
        <v>61</v>
      </c>
      <c r="G167" t="s">
        <v>25</v>
      </c>
      <c r="H167" t="s">
        <v>31</v>
      </c>
      <c r="I167">
        <v>12</v>
      </c>
      <c r="J167">
        <v>262.20999999999998</v>
      </c>
      <c r="K167">
        <v>15</v>
      </c>
      <c r="L167">
        <v>2674.54</v>
      </c>
      <c r="M167">
        <f t="shared" si="2"/>
        <v>2674.5419999999995</v>
      </c>
    </row>
    <row r="168" spans="1:13" x14ac:dyDescent="0.3">
      <c r="A168" t="s">
        <v>225</v>
      </c>
      <c r="B168" s="1">
        <v>45920</v>
      </c>
      <c r="C168" t="s">
        <v>86</v>
      </c>
      <c r="D168" t="s">
        <v>14</v>
      </c>
      <c r="E168" t="s">
        <v>29</v>
      </c>
      <c r="F168" t="s">
        <v>30</v>
      </c>
      <c r="G168" t="s">
        <v>25</v>
      </c>
      <c r="H168" t="s">
        <v>18</v>
      </c>
      <c r="I168">
        <v>24</v>
      </c>
      <c r="J168">
        <v>80.95</v>
      </c>
      <c r="K168">
        <v>5</v>
      </c>
      <c r="L168">
        <v>1845.66</v>
      </c>
      <c r="M168">
        <f t="shared" si="2"/>
        <v>1845.66</v>
      </c>
    </row>
    <row r="169" spans="1:13" x14ac:dyDescent="0.3">
      <c r="A169" t="s">
        <v>226</v>
      </c>
      <c r="B169" s="1">
        <v>45942</v>
      </c>
      <c r="C169" t="s">
        <v>63</v>
      </c>
      <c r="D169" t="s">
        <v>64</v>
      </c>
      <c r="E169" t="s">
        <v>56</v>
      </c>
      <c r="F169" t="s">
        <v>48</v>
      </c>
      <c r="G169" t="s">
        <v>17</v>
      </c>
      <c r="H169" t="s">
        <v>18</v>
      </c>
      <c r="I169">
        <v>17</v>
      </c>
      <c r="J169">
        <v>262.16000000000003</v>
      </c>
      <c r="K169">
        <v>15</v>
      </c>
      <c r="L169">
        <v>3788.21</v>
      </c>
      <c r="M169">
        <f t="shared" si="2"/>
        <v>3788.212</v>
      </c>
    </row>
    <row r="170" spans="1:13" x14ac:dyDescent="0.3">
      <c r="A170" t="s">
        <v>227</v>
      </c>
      <c r="B170" s="1">
        <v>45891</v>
      </c>
      <c r="C170" t="s">
        <v>28</v>
      </c>
      <c r="D170" t="s">
        <v>14</v>
      </c>
      <c r="E170" t="s">
        <v>39</v>
      </c>
      <c r="F170" t="s">
        <v>39</v>
      </c>
      <c r="G170" t="s">
        <v>25</v>
      </c>
      <c r="H170" t="s">
        <v>26</v>
      </c>
      <c r="I170">
        <v>16</v>
      </c>
      <c r="J170">
        <v>215.24</v>
      </c>
      <c r="K170">
        <v>10</v>
      </c>
      <c r="L170">
        <v>3099.46</v>
      </c>
      <c r="M170">
        <f t="shared" si="2"/>
        <v>3099.4560000000001</v>
      </c>
    </row>
    <row r="171" spans="1:13" x14ac:dyDescent="0.3">
      <c r="A171" t="s">
        <v>228</v>
      </c>
      <c r="B171" s="1">
        <v>45950</v>
      </c>
      <c r="C171" t="s">
        <v>42</v>
      </c>
      <c r="D171" t="s">
        <v>43</v>
      </c>
      <c r="E171" t="s">
        <v>39</v>
      </c>
      <c r="F171" t="s">
        <v>39</v>
      </c>
      <c r="G171" t="s">
        <v>22</v>
      </c>
      <c r="H171" t="s">
        <v>18</v>
      </c>
      <c r="I171">
        <v>24</v>
      </c>
      <c r="J171">
        <v>143.04</v>
      </c>
      <c r="K171">
        <v>20</v>
      </c>
      <c r="L171">
        <v>2746.37</v>
      </c>
      <c r="M171">
        <f t="shared" si="2"/>
        <v>2746.3680000000004</v>
      </c>
    </row>
    <row r="172" spans="1:13" x14ac:dyDescent="0.3">
      <c r="A172" t="s">
        <v>229</v>
      </c>
      <c r="B172" s="1">
        <v>45999</v>
      </c>
      <c r="C172" t="s">
        <v>86</v>
      </c>
      <c r="D172" t="s">
        <v>14</v>
      </c>
      <c r="E172" t="s">
        <v>73</v>
      </c>
      <c r="F172" t="s">
        <v>74</v>
      </c>
      <c r="G172" t="s">
        <v>25</v>
      </c>
      <c r="H172" t="s">
        <v>26</v>
      </c>
      <c r="I172">
        <v>13</v>
      </c>
      <c r="J172">
        <v>70.790000000000006</v>
      </c>
      <c r="K172">
        <v>5</v>
      </c>
      <c r="L172">
        <v>874.26</v>
      </c>
      <c r="M172">
        <f t="shared" si="2"/>
        <v>874.25650000000007</v>
      </c>
    </row>
    <row r="173" spans="1:13" x14ac:dyDescent="0.3">
      <c r="A173" t="s">
        <v>230</v>
      </c>
      <c r="B173" s="1">
        <v>45772</v>
      </c>
      <c r="C173" t="s">
        <v>28</v>
      </c>
      <c r="D173" t="s">
        <v>14</v>
      </c>
      <c r="E173" t="s">
        <v>60</v>
      </c>
      <c r="F173" t="s">
        <v>61</v>
      </c>
      <c r="G173" t="s">
        <v>17</v>
      </c>
      <c r="H173" t="s">
        <v>31</v>
      </c>
      <c r="I173">
        <v>25</v>
      </c>
      <c r="J173">
        <v>230.39</v>
      </c>
      <c r="K173">
        <v>0</v>
      </c>
      <c r="L173">
        <v>5759.75</v>
      </c>
      <c r="M173">
        <f t="shared" si="2"/>
        <v>5759.75</v>
      </c>
    </row>
    <row r="174" spans="1:13" x14ac:dyDescent="0.3">
      <c r="A174" t="s">
        <v>231</v>
      </c>
      <c r="B174" s="1">
        <v>45903</v>
      </c>
      <c r="C174" t="s">
        <v>63</v>
      </c>
      <c r="D174" t="s">
        <v>64</v>
      </c>
      <c r="E174" t="s">
        <v>73</v>
      </c>
      <c r="F174" t="s">
        <v>74</v>
      </c>
      <c r="G174" t="s">
        <v>37</v>
      </c>
      <c r="H174" t="s">
        <v>31</v>
      </c>
      <c r="I174">
        <v>14</v>
      </c>
      <c r="J174">
        <v>274.54000000000002</v>
      </c>
      <c r="K174">
        <v>0</v>
      </c>
      <c r="L174">
        <v>3843.56</v>
      </c>
      <c r="M174">
        <f t="shared" si="2"/>
        <v>3843.5600000000004</v>
      </c>
    </row>
    <row r="175" spans="1:13" x14ac:dyDescent="0.3">
      <c r="A175" t="s">
        <v>232</v>
      </c>
      <c r="B175" s="1">
        <v>45872</v>
      </c>
      <c r="C175" t="s">
        <v>86</v>
      </c>
      <c r="D175" t="s">
        <v>14</v>
      </c>
      <c r="E175" t="s">
        <v>34</v>
      </c>
      <c r="F175" t="s">
        <v>35</v>
      </c>
      <c r="G175" t="s">
        <v>25</v>
      </c>
      <c r="H175" t="s">
        <v>31</v>
      </c>
      <c r="I175">
        <v>27</v>
      </c>
      <c r="J175">
        <v>81.010000000000005</v>
      </c>
      <c r="K175">
        <v>5</v>
      </c>
      <c r="L175">
        <v>2077.91</v>
      </c>
      <c r="M175">
        <f t="shared" si="2"/>
        <v>2077.9065000000001</v>
      </c>
    </row>
    <row r="176" spans="1:13" x14ac:dyDescent="0.3">
      <c r="A176" t="s">
        <v>233</v>
      </c>
      <c r="B176" s="1">
        <v>45691</v>
      </c>
      <c r="C176" t="s">
        <v>104</v>
      </c>
      <c r="D176" t="s">
        <v>14</v>
      </c>
      <c r="E176" t="s">
        <v>34</v>
      </c>
      <c r="F176" t="s">
        <v>35</v>
      </c>
      <c r="G176" t="s">
        <v>25</v>
      </c>
      <c r="H176" t="s">
        <v>31</v>
      </c>
      <c r="I176">
        <v>22</v>
      </c>
      <c r="J176">
        <v>233.86</v>
      </c>
      <c r="K176">
        <v>0</v>
      </c>
      <c r="L176">
        <v>5144.92</v>
      </c>
      <c r="M176">
        <f t="shared" si="2"/>
        <v>5144.92</v>
      </c>
    </row>
    <row r="177" spans="1:13" x14ac:dyDescent="0.3">
      <c r="A177" t="s">
        <v>234</v>
      </c>
      <c r="B177" s="1">
        <v>46019</v>
      </c>
      <c r="C177" t="s">
        <v>63</v>
      </c>
      <c r="D177" t="s">
        <v>64</v>
      </c>
      <c r="E177" t="s">
        <v>29</v>
      </c>
      <c r="F177" t="s">
        <v>30</v>
      </c>
      <c r="G177" t="s">
        <v>17</v>
      </c>
      <c r="H177" t="s">
        <v>31</v>
      </c>
      <c r="I177">
        <v>27</v>
      </c>
      <c r="J177">
        <v>292.33</v>
      </c>
      <c r="K177">
        <v>20</v>
      </c>
      <c r="L177">
        <v>6314.33</v>
      </c>
      <c r="M177">
        <f t="shared" si="2"/>
        <v>6314.3280000000004</v>
      </c>
    </row>
    <row r="178" spans="1:13" x14ac:dyDescent="0.3">
      <c r="A178" t="s">
        <v>235</v>
      </c>
      <c r="B178" s="1">
        <v>45925</v>
      </c>
      <c r="C178" t="s">
        <v>86</v>
      </c>
      <c r="D178" t="s">
        <v>14</v>
      </c>
      <c r="E178" t="s">
        <v>29</v>
      </c>
      <c r="F178" t="s">
        <v>30</v>
      </c>
      <c r="G178" t="s">
        <v>22</v>
      </c>
      <c r="H178" t="s">
        <v>26</v>
      </c>
      <c r="I178">
        <v>7</v>
      </c>
      <c r="J178">
        <v>78.48</v>
      </c>
      <c r="K178">
        <v>5</v>
      </c>
      <c r="L178">
        <v>521.89</v>
      </c>
      <c r="M178">
        <f t="shared" si="2"/>
        <v>521.89199999999994</v>
      </c>
    </row>
    <row r="179" spans="1:13" x14ac:dyDescent="0.3">
      <c r="A179" t="s">
        <v>236</v>
      </c>
      <c r="B179" s="1">
        <v>45847</v>
      </c>
      <c r="C179" t="s">
        <v>69</v>
      </c>
      <c r="D179" t="s">
        <v>46</v>
      </c>
      <c r="E179" t="s">
        <v>73</v>
      </c>
      <c r="F179" t="s">
        <v>74</v>
      </c>
      <c r="G179" t="s">
        <v>17</v>
      </c>
      <c r="H179" t="s">
        <v>18</v>
      </c>
      <c r="I179">
        <v>11</v>
      </c>
      <c r="J179">
        <v>335.69</v>
      </c>
      <c r="K179">
        <v>5</v>
      </c>
      <c r="L179">
        <v>3507.96</v>
      </c>
      <c r="M179">
        <f t="shared" si="2"/>
        <v>3507.9605000000001</v>
      </c>
    </row>
    <row r="180" spans="1:13" x14ac:dyDescent="0.3">
      <c r="A180" t="s">
        <v>237</v>
      </c>
      <c r="B180" s="1">
        <v>45949</v>
      </c>
      <c r="C180" t="s">
        <v>20</v>
      </c>
      <c r="D180" t="s">
        <v>14</v>
      </c>
      <c r="E180" t="s">
        <v>39</v>
      </c>
      <c r="F180" t="s">
        <v>39</v>
      </c>
      <c r="G180" t="s">
        <v>37</v>
      </c>
      <c r="H180" t="s">
        <v>31</v>
      </c>
      <c r="I180">
        <v>12</v>
      </c>
      <c r="J180">
        <v>135.85</v>
      </c>
      <c r="K180">
        <v>20</v>
      </c>
      <c r="L180">
        <v>1304.1600000000001</v>
      </c>
      <c r="M180">
        <f t="shared" si="2"/>
        <v>1304.1599999999999</v>
      </c>
    </row>
    <row r="181" spans="1:13" x14ac:dyDescent="0.3">
      <c r="A181" t="s">
        <v>238</v>
      </c>
      <c r="B181" s="1">
        <v>45770</v>
      </c>
      <c r="C181" t="s">
        <v>89</v>
      </c>
      <c r="D181" t="s">
        <v>64</v>
      </c>
      <c r="E181" t="s">
        <v>66</v>
      </c>
      <c r="F181" t="s">
        <v>67</v>
      </c>
      <c r="G181" t="s">
        <v>17</v>
      </c>
      <c r="H181" t="s">
        <v>26</v>
      </c>
      <c r="I181">
        <v>12</v>
      </c>
      <c r="J181">
        <v>105.35</v>
      </c>
      <c r="K181">
        <v>15</v>
      </c>
      <c r="L181">
        <v>1074.57</v>
      </c>
      <c r="M181">
        <f t="shared" si="2"/>
        <v>1074.5699999999997</v>
      </c>
    </row>
    <row r="182" spans="1:13" x14ac:dyDescent="0.3">
      <c r="A182" t="s">
        <v>239</v>
      </c>
      <c r="B182" s="1">
        <v>45969</v>
      </c>
      <c r="C182" t="s">
        <v>33</v>
      </c>
      <c r="D182" t="s">
        <v>14</v>
      </c>
      <c r="E182" t="s">
        <v>56</v>
      </c>
      <c r="F182" t="s">
        <v>48</v>
      </c>
      <c r="G182" t="s">
        <v>37</v>
      </c>
      <c r="H182" t="s">
        <v>18</v>
      </c>
      <c r="I182">
        <v>23</v>
      </c>
      <c r="J182">
        <v>119.43</v>
      </c>
      <c r="K182">
        <v>20</v>
      </c>
      <c r="L182">
        <v>2197.5100000000002</v>
      </c>
      <c r="M182">
        <f t="shared" si="2"/>
        <v>2197.5120000000002</v>
      </c>
    </row>
    <row r="183" spans="1:13" x14ac:dyDescent="0.3">
      <c r="A183" t="s">
        <v>240</v>
      </c>
      <c r="B183" s="1">
        <v>45994</v>
      </c>
      <c r="C183" t="s">
        <v>63</v>
      </c>
      <c r="D183" t="s">
        <v>64</v>
      </c>
      <c r="E183" t="s">
        <v>66</v>
      </c>
      <c r="F183" t="s">
        <v>67</v>
      </c>
      <c r="G183" t="s">
        <v>37</v>
      </c>
      <c r="H183" t="s">
        <v>18</v>
      </c>
      <c r="I183">
        <v>21</v>
      </c>
      <c r="J183">
        <v>261.07</v>
      </c>
      <c r="K183">
        <v>15</v>
      </c>
      <c r="L183">
        <v>4660.1000000000004</v>
      </c>
      <c r="M183">
        <f t="shared" si="2"/>
        <v>4660.0995000000003</v>
      </c>
    </row>
    <row r="184" spans="1:13" x14ac:dyDescent="0.3">
      <c r="A184" t="s">
        <v>241</v>
      </c>
      <c r="B184" s="1">
        <v>45730</v>
      </c>
      <c r="C184" t="s">
        <v>45</v>
      </c>
      <c r="D184" t="s">
        <v>46</v>
      </c>
      <c r="E184" t="s">
        <v>34</v>
      </c>
      <c r="F184" t="s">
        <v>35</v>
      </c>
      <c r="G184" t="s">
        <v>17</v>
      </c>
      <c r="H184" t="s">
        <v>18</v>
      </c>
      <c r="I184">
        <v>3</v>
      </c>
      <c r="J184">
        <v>297.14999999999998</v>
      </c>
      <c r="K184">
        <v>5</v>
      </c>
      <c r="L184">
        <v>846.88</v>
      </c>
      <c r="M184">
        <f t="shared" si="2"/>
        <v>846.87749999999994</v>
      </c>
    </row>
    <row r="185" spans="1:13" x14ac:dyDescent="0.3">
      <c r="A185" t="s">
        <v>242</v>
      </c>
      <c r="B185" s="1">
        <v>45682</v>
      </c>
      <c r="C185" t="s">
        <v>55</v>
      </c>
      <c r="D185" t="s">
        <v>14</v>
      </c>
      <c r="E185" t="s">
        <v>60</v>
      </c>
      <c r="F185" t="s">
        <v>61</v>
      </c>
      <c r="G185" t="s">
        <v>17</v>
      </c>
      <c r="H185" t="s">
        <v>26</v>
      </c>
      <c r="I185">
        <v>26</v>
      </c>
      <c r="J185">
        <v>187.38</v>
      </c>
      <c r="K185">
        <v>5</v>
      </c>
      <c r="L185">
        <v>4628.29</v>
      </c>
      <c r="M185">
        <f t="shared" si="2"/>
        <v>4628.2860000000001</v>
      </c>
    </row>
    <row r="186" spans="1:13" x14ac:dyDescent="0.3">
      <c r="A186" t="s">
        <v>243</v>
      </c>
      <c r="B186" s="1">
        <v>45759</v>
      </c>
      <c r="C186" t="s">
        <v>13</v>
      </c>
      <c r="D186" t="s">
        <v>14</v>
      </c>
      <c r="E186" t="s">
        <v>21</v>
      </c>
      <c r="F186" t="s">
        <v>16</v>
      </c>
      <c r="G186" t="s">
        <v>22</v>
      </c>
      <c r="H186" t="s">
        <v>31</v>
      </c>
      <c r="I186">
        <v>6</v>
      </c>
      <c r="J186">
        <v>49.53</v>
      </c>
      <c r="K186">
        <v>10</v>
      </c>
      <c r="L186">
        <v>267.45999999999998</v>
      </c>
      <c r="M186">
        <f t="shared" si="2"/>
        <v>267.46199999999999</v>
      </c>
    </row>
    <row r="187" spans="1:13" x14ac:dyDescent="0.3">
      <c r="A187" t="s">
        <v>244</v>
      </c>
      <c r="B187" s="1">
        <v>45674</v>
      </c>
      <c r="C187" t="s">
        <v>81</v>
      </c>
      <c r="D187" t="s">
        <v>64</v>
      </c>
      <c r="E187" t="s">
        <v>52</v>
      </c>
      <c r="F187" t="s">
        <v>53</v>
      </c>
      <c r="G187" t="s">
        <v>22</v>
      </c>
      <c r="H187" t="s">
        <v>26</v>
      </c>
      <c r="I187">
        <v>13</v>
      </c>
      <c r="J187">
        <v>127.38</v>
      </c>
      <c r="K187">
        <v>0</v>
      </c>
      <c r="L187">
        <v>1655.94</v>
      </c>
      <c r="M187">
        <f t="shared" si="2"/>
        <v>1655.94</v>
      </c>
    </row>
    <row r="188" spans="1:13" x14ac:dyDescent="0.3">
      <c r="A188" t="s">
        <v>245</v>
      </c>
      <c r="B188" s="1">
        <v>45921</v>
      </c>
      <c r="C188" t="s">
        <v>20</v>
      </c>
      <c r="D188" t="s">
        <v>14</v>
      </c>
      <c r="E188" t="s">
        <v>73</v>
      </c>
      <c r="F188" t="s">
        <v>74</v>
      </c>
      <c r="G188" t="s">
        <v>22</v>
      </c>
      <c r="H188" t="s">
        <v>26</v>
      </c>
      <c r="I188">
        <v>16</v>
      </c>
      <c r="J188">
        <v>133.01</v>
      </c>
      <c r="K188">
        <v>10</v>
      </c>
      <c r="L188">
        <v>1915.34</v>
      </c>
      <c r="M188">
        <f t="shared" si="2"/>
        <v>1915.3439999999998</v>
      </c>
    </row>
    <row r="189" spans="1:13" x14ac:dyDescent="0.3">
      <c r="A189" t="s">
        <v>246</v>
      </c>
      <c r="B189" s="1">
        <v>45746</v>
      </c>
      <c r="C189" t="s">
        <v>42</v>
      </c>
      <c r="D189" t="s">
        <v>43</v>
      </c>
      <c r="E189" t="s">
        <v>29</v>
      </c>
      <c r="F189" t="s">
        <v>30</v>
      </c>
      <c r="G189" t="s">
        <v>17</v>
      </c>
      <c r="H189" t="s">
        <v>18</v>
      </c>
      <c r="I189">
        <v>6</v>
      </c>
      <c r="J189">
        <v>155.77000000000001</v>
      </c>
      <c r="K189">
        <v>0</v>
      </c>
      <c r="L189">
        <v>934.62</v>
      </c>
      <c r="M189">
        <f t="shared" si="2"/>
        <v>934.62000000000012</v>
      </c>
    </row>
    <row r="190" spans="1:13" x14ac:dyDescent="0.3">
      <c r="A190" t="s">
        <v>247</v>
      </c>
      <c r="B190" s="1">
        <v>45673</v>
      </c>
      <c r="C190" t="s">
        <v>28</v>
      </c>
      <c r="D190" t="s">
        <v>14</v>
      </c>
      <c r="E190" t="s">
        <v>34</v>
      </c>
      <c r="F190" t="s">
        <v>35</v>
      </c>
      <c r="G190" t="s">
        <v>25</v>
      </c>
      <c r="H190" t="s">
        <v>26</v>
      </c>
      <c r="I190">
        <v>14</v>
      </c>
      <c r="J190">
        <v>217.14</v>
      </c>
      <c r="K190">
        <v>5</v>
      </c>
      <c r="L190">
        <v>2887.96</v>
      </c>
      <c r="M190">
        <f t="shared" si="2"/>
        <v>2887.962</v>
      </c>
    </row>
    <row r="191" spans="1:13" x14ac:dyDescent="0.3">
      <c r="A191" t="s">
        <v>248</v>
      </c>
      <c r="B191" s="1">
        <v>45664</v>
      </c>
      <c r="C191" t="s">
        <v>13</v>
      </c>
      <c r="D191" t="s">
        <v>14</v>
      </c>
      <c r="E191" t="s">
        <v>101</v>
      </c>
      <c r="F191" t="s">
        <v>16</v>
      </c>
      <c r="G191" t="s">
        <v>22</v>
      </c>
      <c r="H191" t="s">
        <v>31</v>
      </c>
      <c r="I191">
        <v>22</v>
      </c>
      <c r="J191">
        <v>54.71</v>
      </c>
      <c r="K191">
        <v>20</v>
      </c>
      <c r="L191">
        <v>962.9</v>
      </c>
      <c r="M191">
        <f t="shared" si="2"/>
        <v>962.89600000000019</v>
      </c>
    </row>
    <row r="192" spans="1:13" x14ac:dyDescent="0.3">
      <c r="A192" t="s">
        <v>249</v>
      </c>
      <c r="B192" s="1">
        <v>45880</v>
      </c>
      <c r="C192" t="s">
        <v>55</v>
      </c>
      <c r="D192" t="s">
        <v>14</v>
      </c>
      <c r="E192" t="s">
        <v>21</v>
      </c>
      <c r="F192" t="s">
        <v>16</v>
      </c>
      <c r="G192" t="s">
        <v>37</v>
      </c>
      <c r="H192" t="s">
        <v>31</v>
      </c>
      <c r="I192">
        <v>28</v>
      </c>
      <c r="J192">
        <v>195.99</v>
      </c>
      <c r="K192">
        <v>5</v>
      </c>
      <c r="L192">
        <v>5213.33</v>
      </c>
      <c r="M192">
        <f t="shared" si="2"/>
        <v>5213.3339999999998</v>
      </c>
    </row>
    <row r="193" spans="1:13" x14ac:dyDescent="0.3">
      <c r="A193" t="s">
        <v>250</v>
      </c>
      <c r="B193" s="1">
        <v>45671</v>
      </c>
      <c r="C193" t="s">
        <v>45</v>
      </c>
      <c r="D193" t="s">
        <v>46</v>
      </c>
      <c r="E193" t="s">
        <v>15</v>
      </c>
      <c r="F193" t="s">
        <v>16</v>
      </c>
      <c r="G193" t="s">
        <v>22</v>
      </c>
      <c r="H193" t="s">
        <v>18</v>
      </c>
      <c r="I193">
        <v>19</v>
      </c>
      <c r="J193">
        <v>291.3</v>
      </c>
      <c r="K193">
        <v>0</v>
      </c>
      <c r="L193">
        <v>5534.7</v>
      </c>
      <c r="M193">
        <f t="shared" si="2"/>
        <v>5534.7</v>
      </c>
    </row>
    <row r="194" spans="1:13" x14ac:dyDescent="0.3">
      <c r="A194" t="s">
        <v>251</v>
      </c>
      <c r="B194" s="1">
        <v>45840</v>
      </c>
      <c r="C194" t="s">
        <v>42</v>
      </c>
      <c r="D194" t="s">
        <v>43</v>
      </c>
      <c r="E194" t="s">
        <v>60</v>
      </c>
      <c r="F194" t="s">
        <v>61</v>
      </c>
      <c r="G194" t="s">
        <v>22</v>
      </c>
      <c r="H194" t="s">
        <v>26</v>
      </c>
      <c r="I194">
        <v>3</v>
      </c>
      <c r="J194">
        <v>161.55000000000001</v>
      </c>
      <c r="K194">
        <v>10</v>
      </c>
      <c r="L194">
        <v>436.19</v>
      </c>
      <c r="M194">
        <f t="shared" ref="M194:M257" si="3">I194*J194*(1-K194/100)</f>
        <v>436.18500000000006</v>
      </c>
    </row>
    <row r="195" spans="1:13" x14ac:dyDescent="0.3">
      <c r="A195" t="s">
        <v>252</v>
      </c>
      <c r="B195" s="1">
        <v>45867</v>
      </c>
      <c r="C195" t="s">
        <v>13</v>
      </c>
      <c r="D195" t="s">
        <v>14</v>
      </c>
      <c r="E195" t="s">
        <v>52</v>
      </c>
      <c r="F195" t="s">
        <v>53</v>
      </c>
      <c r="G195" t="s">
        <v>22</v>
      </c>
      <c r="H195" t="s">
        <v>18</v>
      </c>
      <c r="I195">
        <v>25</v>
      </c>
      <c r="J195">
        <v>55.43</v>
      </c>
      <c r="K195">
        <v>20</v>
      </c>
      <c r="L195">
        <v>1108.5999999999999</v>
      </c>
      <c r="M195">
        <f t="shared" si="3"/>
        <v>1108.6000000000001</v>
      </c>
    </row>
    <row r="196" spans="1:13" x14ac:dyDescent="0.3">
      <c r="A196" t="s">
        <v>253</v>
      </c>
      <c r="B196" s="1">
        <v>45691</v>
      </c>
      <c r="C196" t="s">
        <v>63</v>
      </c>
      <c r="D196" t="s">
        <v>64</v>
      </c>
      <c r="E196" t="s">
        <v>66</v>
      </c>
      <c r="F196" t="s">
        <v>67</v>
      </c>
      <c r="G196" t="s">
        <v>37</v>
      </c>
      <c r="H196" t="s">
        <v>31</v>
      </c>
      <c r="I196">
        <v>3</v>
      </c>
      <c r="J196">
        <v>253.37</v>
      </c>
      <c r="K196">
        <v>5</v>
      </c>
      <c r="L196">
        <v>722.1</v>
      </c>
      <c r="M196">
        <f t="shared" si="3"/>
        <v>722.10450000000003</v>
      </c>
    </row>
    <row r="197" spans="1:13" x14ac:dyDescent="0.3">
      <c r="A197" t="s">
        <v>254</v>
      </c>
      <c r="B197" s="1">
        <v>45696</v>
      </c>
      <c r="C197" t="s">
        <v>45</v>
      </c>
      <c r="D197" t="s">
        <v>46</v>
      </c>
      <c r="E197" t="s">
        <v>34</v>
      </c>
      <c r="F197" t="s">
        <v>35</v>
      </c>
      <c r="G197" t="s">
        <v>22</v>
      </c>
      <c r="H197" t="s">
        <v>26</v>
      </c>
      <c r="I197">
        <v>14</v>
      </c>
      <c r="J197">
        <v>283.27</v>
      </c>
      <c r="K197">
        <v>10</v>
      </c>
      <c r="L197">
        <v>3569.2</v>
      </c>
      <c r="M197">
        <f t="shared" si="3"/>
        <v>3569.2019999999998</v>
      </c>
    </row>
    <row r="198" spans="1:13" x14ac:dyDescent="0.3">
      <c r="A198" t="s">
        <v>255</v>
      </c>
      <c r="B198" s="1">
        <v>45893</v>
      </c>
      <c r="C198" t="s">
        <v>45</v>
      </c>
      <c r="D198" t="s">
        <v>46</v>
      </c>
      <c r="E198" t="s">
        <v>15</v>
      </c>
      <c r="F198" t="s">
        <v>16</v>
      </c>
      <c r="G198" t="s">
        <v>17</v>
      </c>
      <c r="H198" t="s">
        <v>31</v>
      </c>
      <c r="I198">
        <v>18</v>
      </c>
      <c r="J198">
        <v>284.31</v>
      </c>
      <c r="K198">
        <v>20</v>
      </c>
      <c r="L198">
        <v>4094.06</v>
      </c>
      <c r="M198">
        <f t="shared" si="3"/>
        <v>4094.0640000000003</v>
      </c>
    </row>
    <row r="199" spans="1:13" x14ac:dyDescent="0.3">
      <c r="A199" t="s">
        <v>256</v>
      </c>
      <c r="B199" s="1">
        <v>46016</v>
      </c>
      <c r="C199" t="s">
        <v>55</v>
      </c>
      <c r="D199" t="s">
        <v>14</v>
      </c>
      <c r="E199" t="s">
        <v>60</v>
      </c>
      <c r="F199" t="s">
        <v>61</v>
      </c>
      <c r="G199" t="s">
        <v>37</v>
      </c>
      <c r="H199" t="s">
        <v>18</v>
      </c>
      <c r="I199">
        <v>26</v>
      </c>
      <c r="J199">
        <v>189.66</v>
      </c>
      <c r="K199">
        <v>0</v>
      </c>
      <c r="L199">
        <v>4931.16</v>
      </c>
      <c r="M199">
        <f t="shared" si="3"/>
        <v>4931.16</v>
      </c>
    </row>
    <row r="200" spans="1:13" x14ac:dyDescent="0.3">
      <c r="A200" t="s">
        <v>257</v>
      </c>
      <c r="B200" s="1">
        <v>45981</v>
      </c>
      <c r="C200" t="s">
        <v>71</v>
      </c>
      <c r="D200" t="s">
        <v>64</v>
      </c>
      <c r="E200" t="s">
        <v>29</v>
      </c>
      <c r="F200" t="s">
        <v>30</v>
      </c>
      <c r="G200" t="s">
        <v>17</v>
      </c>
      <c r="H200" t="s">
        <v>31</v>
      </c>
      <c r="I200">
        <v>18</v>
      </c>
      <c r="J200">
        <v>138.31</v>
      </c>
      <c r="K200">
        <v>5</v>
      </c>
      <c r="L200">
        <v>2365.1</v>
      </c>
      <c r="M200">
        <f t="shared" si="3"/>
        <v>2365.1009999999997</v>
      </c>
    </row>
    <row r="201" spans="1:13" x14ac:dyDescent="0.3">
      <c r="A201" t="s">
        <v>258</v>
      </c>
      <c r="B201" s="1">
        <v>45962</v>
      </c>
      <c r="C201" t="s">
        <v>81</v>
      </c>
      <c r="D201" t="s">
        <v>64</v>
      </c>
      <c r="E201" t="s">
        <v>29</v>
      </c>
      <c r="F201" t="s">
        <v>30</v>
      </c>
      <c r="G201" t="s">
        <v>17</v>
      </c>
      <c r="H201" t="s">
        <v>26</v>
      </c>
      <c r="I201">
        <v>22</v>
      </c>
      <c r="J201">
        <v>131.71</v>
      </c>
      <c r="K201">
        <v>0</v>
      </c>
      <c r="L201">
        <v>2897.62</v>
      </c>
      <c r="M201">
        <f t="shared" si="3"/>
        <v>2897.6200000000003</v>
      </c>
    </row>
    <row r="202" spans="1:13" x14ac:dyDescent="0.3">
      <c r="A202" t="s">
        <v>259</v>
      </c>
      <c r="B202" s="1">
        <v>45855</v>
      </c>
      <c r="C202" t="s">
        <v>55</v>
      </c>
      <c r="D202" t="s">
        <v>14</v>
      </c>
      <c r="E202" t="s">
        <v>60</v>
      </c>
      <c r="F202" t="s">
        <v>61</v>
      </c>
      <c r="G202" t="s">
        <v>37</v>
      </c>
      <c r="H202" t="s">
        <v>18</v>
      </c>
      <c r="I202">
        <v>27</v>
      </c>
      <c r="J202">
        <v>190.73</v>
      </c>
      <c r="K202">
        <v>20</v>
      </c>
      <c r="L202">
        <v>4119.7700000000004</v>
      </c>
      <c r="M202">
        <f t="shared" si="3"/>
        <v>4119.768</v>
      </c>
    </row>
    <row r="203" spans="1:13" x14ac:dyDescent="0.3">
      <c r="A203" t="s">
        <v>260</v>
      </c>
      <c r="B203" s="1">
        <v>45883</v>
      </c>
      <c r="C203" t="s">
        <v>13</v>
      </c>
      <c r="D203" t="s">
        <v>14</v>
      </c>
      <c r="E203" t="s">
        <v>60</v>
      </c>
      <c r="F203" t="s">
        <v>61</v>
      </c>
      <c r="G203" t="s">
        <v>22</v>
      </c>
      <c r="H203" t="s">
        <v>31</v>
      </c>
      <c r="I203">
        <v>25</v>
      </c>
      <c r="J203">
        <v>54.64</v>
      </c>
      <c r="K203">
        <v>20</v>
      </c>
      <c r="L203">
        <v>1092.8</v>
      </c>
      <c r="M203">
        <f t="shared" si="3"/>
        <v>1092.8</v>
      </c>
    </row>
    <row r="204" spans="1:13" x14ac:dyDescent="0.3">
      <c r="A204" t="s">
        <v>261</v>
      </c>
      <c r="B204" s="1">
        <v>45900</v>
      </c>
      <c r="C204" t="s">
        <v>55</v>
      </c>
      <c r="D204" t="s">
        <v>14</v>
      </c>
      <c r="E204" t="s">
        <v>56</v>
      </c>
      <c r="F204" t="s">
        <v>48</v>
      </c>
      <c r="G204" t="s">
        <v>37</v>
      </c>
      <c r="H204" t="s">
        <v>18</v>
      </c>
      <c r="I204">
        <v>9</v>
      </c>
      <c r="J204">
        <v>195.94</v>
      </c>
      <c r="K204">
        <v>20</v>
      </c>
      <c r="L204">
        <v>1410.77</v>
      </c>
      <c r="M204">
        <f t="shared" si="3"/>
        <v>1410.768</v>
      </c>
    </row>
    <row r="205" spans="1:13" x14ac:dyDescent="0.3">
      <c r="A205" t="s">
        <v>262</v>
      </c>
      <c r="B205" s="1">
        <v>45916</v>
      </c>
      <c r="C205" t="s">
        <v>69</v>
      </c>
      <c r="D205" t="s">
        <v>46</v>
      </c>
      <c r="E205" t="s">
        <v>66</v>
      </c>
      <c r="F205" t="s">
        <v>67</v>
      </c>
      <c r="G205" t="s">
        <v>22</v>
      </c>
      <c r="H205" t="s">
        <v>31</v>
      </c>
      <c r="I205">
        <v>26</v>
      </c>
      <c r="J205">
        <v>292.67</v>
      </c>
      <c r="K205">
        <v>0</v>
      </c>
      <c r="L205">
        <v>7609.42</v>
      </c>
      <c r="M205">
        <f t="shared" si="3"/>
        <v>7609.42</v>
      </c>
    </row>
    <row r="206" spans="1:13" x14ac:dyDescent="0.3">
      <c r="A206" t="s">
        <v>263</v>
      </c>
      <c r="B206" s="1">
        <v>45666</v>
      </c>
      <c r="C206" t="s">
        <v>24</v>
      </c>
      <c r="D206" t="s">
        <v>14</v>
      </c>
      <c r="E206" t="s">
        <v>47</v>
      </c>
      <c r="F206" t="s">
        <v>48</v>
      </c>
      <c r="G206" t="s">
        <v>17</v>
      </c>
      <c r="H206" t="s">
        <v>26</v>
      </c>
      <c r="I206">
        <v>23</v>
      </c>
      <c r="J206">
        <v>71.099999999999994</v>
      </c>
      <c r="K206">
        <v>0</v>
      </c>
      <c r="L206">
        <v>1635.3</v>
      </c>
      <c r="M206">
        <f t="shared" si="3"/>
        <v>1635.3</v>
      </c>
    </row>
    <row r="207" spans="1:13" x14ac:dyDescent="0.3">
      <c r="A207" t="s">
        <v>264</v>
      </c>
      <c r="B207" s="1">
        <v>45835</v>
      </c>
      <c r="C207" t="s">
        <v>89</v>
      </c>
      <c r="D207" t="s">
        <v>64</v>
      </c>
      <c r="E207" t="s">
        <v>15</v>
      </c>
      <c r="F207" t="s">
        <v>16</v>
      </c>
      <c r="G207" t="s">
        <v>25</v>
      </c>
      <c r="H207" t="s">
        <v>26</v>
      </c>
      <c r="I207">
        <v>30</v>
      </c>
      <c r="J207">
        <v>104.73</v>
      </c>
      <c r="K207">
        <v>10</v>
      </c>
      <c r="L207">
        <v>2827.71</v>
      </c>
      <c r="M207">
        <f t="shared" si="3"/>
        <v>2827.71</v>
      </c>
    </row>
    <row r="208" spans="1:13" x14ac:dyDescent="0.3">
      <c r="A208" t="s">
        <v>265</v>
      </c>
      <c r="B208" s="1">
        <v>45746</v>
      </c>
      <c r="C208" t="s">
        <v>81</v>
      </c>
      <c r="D208" t="s">
        <v>64</v>
      </c>
      <c r="E208" t="s">
        <v>101</v>
      </c>
      <c r="F208" t="s">
        <v>16</v>
      </c>
      <c r="G208" t="s">
        <v>37</v>
      </c>
      <c r="H208" t="s">
        <v>18</v>
      </c>
      <c r="I208">
        <v>4</v>
      </c>
      <c r="J208">
        <v>113.39</v>
      </c>
      <c r="K208">
        <v>20</v>
      </c>
      <c r="L208">
        <v>362.85</v>
      </c>
      <c r="M208">
        <f t="shared" si="3"/>
        <v>362.84800000000001</v>
      </c>
    </row>
    <row r="209" spans="1:13" x14ac:dyDescent="0.3">
      <c r="A209" t="s">
        <v>266</v>
      </c>
      <c r="B209" s="1">
        <v>45780</v>
      </c>
      <c r="C209" t="s">
        <v>55</v>
      </c>
      <c r="D209" t="s">
        <v>14</v>
      </c>
      <c r="E209" t="s">
        <v>15</v>
      </c>
      <c r="F209" t="s">
        <v>16</v>
      </c>
      <c r="G209" t="s">
        <v>25</v>
      </c>
      <c r="H209" t="s">
        <v>26</v>
      </c>
      <c r="I209">
        <v>3</v>
      </c>
      <c r="J209">
        <v>178.47</v>
      </c>
      <c r="K209">
        <v>10</v>
      </c>
      <c r="L209">
        <v>481.87</v>
      </c>
      <c r="M209">
        <f t="shared" si="3"/>
        <v>481.86899999999997</v>
      </c>
    </row>
    <row r="210" spans="1:13" x14ac:dyDescent="0.3">
      <c r="A210" t="s">
        <v>267</v>
      </c>
      <c r="B210" s="1">
        <v>45697</v>
      </c>
      <c r="C210" t="s">
        <v>28</v>
      </c>
      <c r="D210" t="s">
        <v>14</v>
      </c>
      <c r="E210" t="s">
        <v>73</v>
      </c>
      <c r="F210" t="s">
        <v>74</v>
      </c>
      <c r="G210" t="s">
        <v>22</v>
      </c>
      <c r="H210" t="s">
        <v>26</v>
      </c>
      <c r="I210">
        <v>3</v>
      </c>
      <c r="J210">
        <v>225.21</v>
      </c>
      <c r="K210">
        <v>0</v>
      </c>
      <c r="L210">
        <v>675.63</v>
      </c>
      <c r="M210">
        <f t="shared" si="3"/>
        <v>675.63</v>
      </c>
    </row>
    <row r="211" spans="1:13" x14ac:dyDescent="0.3">
      <c r="A211" t="s">
        <v>268</v>
      </c>
      <c r="B211" s="1">
        <v>45833</v>
      </c>
      <c r="C211" t="s">
        <v>55</v>
      </c>
      <c r="D211" t="s">
        <v>14</v>
      </c>
      <c r="E211" t="s">
        <v>29</v>
      </c>
      <c r="F211" t="s">
        <v>30</v>
      </c>
      <c r="G211" t="s">
        <v>22</v>
      </c>
      <c r="H211" t="s">
        <v>18</v>
      </c>
      <c r="I211">
        <v>3</v>
      </c>
      <c r="J211">
        <v>176.7</v>
      </c>
      <c r="K211">
        <v>10</v>
      </c>
      <c r="L211">
        <v>477.09</v>
      </c>
      <c r="M211">
        <f t="shared" si="3"/>
        <v>477.08999999999992</v>
      </c>
    </row>
    <row r="212" spans="1:13" x14ac:dyDescent="0.3">
      <c r="A212" t="s">
        <v>269</v>
      </c>
      <c r="B212" s="1">
        <v>45738</v>
      </c>
      <c r="C212" t="s">
        <v>20</v>
      </c>
      <c r="D212" t="s">
        <v>14</v>
      </c>
      <c r="E212" t="s">
        <v>39</v>
      </c>
      <c r="F212" t="s">
        <v>39</v>
      </c>
      <c r="G212" t="s">
        <v>25</v>
      </c>
      <c r="H212" t="s">
        <v>26</v>
      </c>
      <c r="I212">
        <v>29</v>
      </c>
      <c r="J212">
        <v>133.66999999999999</v>
      </c>
      <c r="K212">
        <v>15</v>
      </c>
      <c r="L212">
        <v>3294.97</v>
      </c>
      <c r="M212">
        <f t="shared" si="3"/>
        <v>3294.9654999999998</v>
      </c>
    </row>
    <row r="213" spans="1:13" x14ac:dyDescent="0.3">
      <c r="A213" t="s">
        <v>270</v>
      </c>
      <c r="B213" s="1">
        <v>45713</v>
      </c>
      <c r="C213" t="s">
        <v>81</v>
      </c>
      <c r="D213" t="s">
        <v>64</v>
      </c>
      <c r="E213" t="s">
        <v>60</v>
      </c>
      <c r="F213" t="s">
        <v>61</v>
      </c>
      <c r="G213" t="s">
        <v>17</v>
      </c>
      <c r="H213" t="s">
        <v>31</v>
      </c>
      <c r="I213">
        <v>30</v>
      </c>
      <c r="J213">
        <v>129.76</v>
      </c>
      <c r="K213">
        <v>10</v>
      </c>
      <c r="L213">
        <v>3503.52</v>
      </c>
      <c r="M213">
        <f t="shared" si="3"/>
        <v>3503.52</v>
      </c>
    </row>
    <row r="214" spans="1:13" x14ac:dyDescent="0.3">
      <c r="A214" t="s">
        <v>271</v>
      </c>
      <c r="B214" s="1">
        <v>45993</v>
      </c>
      <c r="C214" t="s">
        <v>24</v>
      </c>
      <c r="D214" t="s">
        <v>14</v>
      </c>
      <c r="E214" t="s">
        <v>39</v>
      </c>
      <c r="F214" t="s">
        <v>39</v>
      </c>
      <c r="G214" t="s">
        <v>37</v>
      </c>
      <c r="H214" t="s">
        <v>18</v>
      </c>
      <c r="I214">
        <v>14</v>
      </c>
      <c r="J214">
        <v>61.97</v>
      </c>
      <c r="K214">
        <v>10</v>
      </c>
      <c r="L214">
        <v>780.82</v>
      </c>
      <c r="M214">
        <f t="shared" si="3"/>
        <v>780.822</v>
      </c>
    </row>
    <row r="215" spans="1:13" x14ac:dyDescent="0.3">
      <c r="A215" t="s">
        <v>272</v>
      </c>
      <c r="B215" s="1">
        <v>46020</v>
      </c>
      <c r="C215" t="s">
        <v>24</v>
      </c>
      <c r="D215" t="s">
        <v>14</v>
      </c>
      <c r="E215" t="s">
        <v>52</v>
      </c>
      <c r="F215" t="s">
        <v>53</v>
      </c>
      <c r="G215" t="s">
        <v>17</v>
      </c>
      <c r="H215" t="s">
        <v>18</v>
      </c>
      <c r="I215">
        <v>28</v>
      </c>
      <c r="J215">
        <v>60.59</v>
      </c>
      <c r="K215">
        <v>20</v>
      </c>
      <c r="L215">
        <v>1357.22</v>
      </c>
      <c r="M215">
        <f t="shared" si="3"/>
        <v>1357.2160000000001</v>
      </c>
    </row>
    <row r="216" spans="1:13" x14ac:dyDescent="0.3">
      <c r="A216" t="s">
        <v>273</v>
      </c>
      <c r="B216" s="1">
        <v>45664</v>
      </c>
      <c r="C216" t="s">
        <v>69</v>
      </c>
      <c r="D216" t="s">
        <v>46</v>
      </c>
      <c r="E216" t="s">
        <v>73</v>
      </c>
      <c r="F216" t="s">
        <v>74</v>
      </c>
      <c r="G216" t="s">
        <v>17</v>
      </c>
      <c r="H216" t="s">
        <v>31</v>
      </c>
      <c r="I216">
        <v>5</v>
      </c>
      <c r="J216">
        <v>317.35000000000002</v>
      </c>
      <c r="K216">
        <v>15</v>
      </c>
      <c r="L216">
        <v>1348.74</v>
      </c>
      <c r="M216">
        <f t="shared" si="3"/>
        <v>1348.7375</v>
      </c>
    </row>
    <row r="217" spans="1:13" x14ac:dyDescent="0.3">
      <c r="A217" t="s">
        <v>274</v>
      </c>
      <c r="B217" s="1">
        <v>45817</v>
      </c>
      <c r="C217" t="s">
        <v>104</v>
      </c>
      <c r="D217" t="s">
        <v>14</v>
      </c>
      <c r="E217" t="s">
        <v>34</v>
      </c>
      <c r="F217" t="s">
        <v>35</v>
      </c>
      <c r="G217" t="s">
        <v>17</v>
      </c>
      <c r="H217" t="s">
        <v>31</v>
      </c>
      <c r="I217">
        <v>26</v>
      </c>
      <c r="J217">
        <v>199.29</v>
      </c>
      <c r="K217">
        <v>5</v>
      </c>
      <c r="L217">
        <v>4922.46</v>
      </c>
      <c r="M217">
        <f t="shared" si="3"/>
        <v>4922.4629999999997</v>
      </c>
    </row>
    <row r="218" spans="1:13" x14ac:dyDescent="0.3">
      <c r="A218" t="s">
        <v>275</v>
      </c>
      <c r="B218" s="1">
        <v>45669</v>
      </c>
      <c r="C218" t="s">
        <v>33</v>
      </c>
      <c r="D218" t="s">
        <v>14</v>
      </c>
      <c r="E218" t="s">
        <v>29</v>
      </c>
      <c r="F218" t="s">
        <v>30</v>
      </c>
      <c r="G218" t="s">
        <v>25</v>
      </c>
      <c r="H218" t="s">
        <v>18</v>
      </c>
      <c r="I218">
        <v>19</v>
      </c>
      <c r="J218">
        <v>127.63</v>
      </c>
      <c r="K218">
        <v>20</v>
      </c>
      <c r="L218">
        <v>1939.98</v>
      </c>
      <c r="M218">
        <f t="shared" si="3"/>
        <v>1939.9759999999999</v>
      </c>
    </row>
    <row r="219" spans="1:13" x14ac:dyDescent="0.3">
      <c r="A219" t="s">
        <v>276</v>
      </c>
      <c r="B219" s="1">
        <v>45674</v>
      </c>
      <c r="C219" t="s">
        <v>13</v>
      </c>
      <c r="D219" t="s">
        <v>14</v>
      </c>
      <c r="E219" t="s">
        <v>39</v>
      </c>
      <c r="F219" t="s">
        <v>39</v>
      </c>
      <c r="G219" t="s">
        <v>37</v>
      </c>
      <c r="H219" t="s">
        <v>26</v>
      </c>
      <c r="I219">
        <v>15</v>
      </c>
      <c r="J219">
        <v>53.09</v>
      </c>
      <c r="K219">
        <v>0</v>
      </c>
      <c r="L219">
        <v>796.35</v>
      </c>
      <c r="M219">
        <f t="shared" si="3"/>
        <v>796.35</v>
      </c>
    </row>
    <row r="220" spans="1:13" x14ac:dyDescent="0.3">
      <c r="A220" t="s">
        <v>277</v>
      </c>
      <c r="B220" s="1">
        <v>45731</v>
      </c>
      <c r="C220" t="s">
        <v>24</v>
      </c>
      <c r="D220" t="s">
        <v>14</v>
      </c>
      <c r="E220" t="s">
        <v>39</v>
      </c>
      <c r="F220" t="s">
        <v>39</v>
      </c>
      <c r="G220" t="s">
        <v>37</v>
      </c>
      <c r="H220" t="s">
        <v>26</v>
      </c>
      <c r="I220">
        <v>4</v>
      </c>
      <c r="J220">
        <v>60.17</v>
      </c>
      <c r="K220">
        <v>10</v>
      </c>
      <c r="L220">
        <v>216.61</v>
      </c>
      <c r="M220">
        <f t="shared" si="3"/>
        <v>216.61200000000002</v>
      </c>
    </row>
    <row r="221" spans="1:13" x14ac:dyDescent="0.3">
      <c r="A221" t="s">
        <v>278</v>
      </c>
      <c r="B221" s="1">
        <v>46009</v>
      </c>
      <c r="C221" t="s">
        <v>55</v>
      </c>
      <c r="D221" t="s">
        <v>14</v>
      </c>
      <c r="E221" t="s">
        <v>39</v>
      </c>
      <c r="F221" t="s">
        <v>39</v>
      </c>
      <c r="G221" t="s">
        <v>22</v>
      </c>
      <c r="H221" t="s">
        <v>18</v>
      </c>
      <c r="I221">
        <v>6</v>
      </c>
      <c r="J221">
        <v>165.69</v>
      </c>
      <c r="K221">
        <v>15</v>
      </c>
      <c r="L221">
        <v>845.02</v>
      </c>
      <c r="M221">
        <f t="shared" si="3"/>
        <v>845.01900000000001</v>
      </c>
    </row>
    <row r="222" spans="1:13" x14ac:dyDescent="0.3">
      <c r="A222" t="s">
        <v>279</v>
      </c>
      <c r="B222" s="1">
        <v>45850</v>
      </c>
      <c r="C222" t="s">
        <v>71</v>
      </c>
      <c r="D222" t="s">
        <v>64</v>
      </c>
      <c r="E222" t="s">
        <v>39</v>
      </c>
      <c r="F222" t="s">
        <v>39</v>
      </c>
      <c r="G222" t="s">
        <v>37</v>
      </c>
      <c r="H222" t="s">
        <v>18</v>
      </c>
      <c r="I222">
        <v>18</v>
      </c>
      <c r="J222">
        <v>158.13</v>
      </c>
      <c r="K222">
        <v>0</v>
      </c>
      <c r="L222">
        <v>2846.34</v>
      </c>
      <c r="M222">
        <f t="shared" si="3"/>
        <v>2846.34</v>
      </c>
    </row>
    <row r="223" spans="1:13" x14ac:dyDescent="0.3">
      <c r="A223" t="s">
        <v>280</v>
      </c>
      <c r="B223" s="1">
        <v>45861</v>
      </c>
      <c r="C223" t="s">
        <v>86</v>
      </c>
      <c r="D223" t="s">
        <v>14</v>
      </c>
      <c r="E223" t="s">
        <v>66</v>
      </c>
      <c r="F223" t="s">
        <v>67</v>
      </c>
      <c r="G223" t="s">
        <v>37</v>
      </c>
      <c r="H223" t="s">
        <v>18</v>
      </c>
      <c r="I223">
        <v>19</v>
      </c>
      <c r="J223">
        <v>80.569999999999993</v>
      </c>
      <c r="K223">
        <v>20</v>
      </c>
      <c r="L223">
        <v>1224.6600000000001</v>
      </c>
      <c r="M223">
        <f t="shared" si="3"/>
        <v>1224.664</v>
      </c>
    </row>
    <row r="224" spans="1:13" x14ac:dyDescent="0.3">
      <c r="A224" t="s">
        <v>281</v>
      </c>
      <c r="B224" s="1">
        <v>45690</v>
      </c>
      <c r="C224" t="s">
        <v>71</v>
      </c>
      <c r="D224" t="s">
        <v>64</v>
      </c>
      <c r="E224" t="s">
        <v>34</v>
      </c>
      <c r="F224" t="s">
        <v>35</v>
      </c>
      <c r="G224" t="s">
        <v>22</v>
      </c>
      <c r="H224" t="s">
        <v>26</v>
      </c>
      <c r="I224">
        <v>13</v>
      </c>
      <c r="J224">
        <v>135.74</v>
      </c>
      <c r="K224">
        <v>10</v>
      </c>
      <c r="L224">
        <v>1588.16</v>
      </c>
      <c r="M224">
        <f t="shared" si="3"/>
        <v>1588.1580000000001</v>
      </c>
    </row>
    <row r="225" spans="1:13" x14ac:dyDescent="0.3">
      <c r="A225" t="s">
        <v>282</v>
      </c>
      <c r="B225" s="1">
        <v>45942</v>
      </c>
      <c r="C225" t="s">
        <v>86</v>
      </c>
      <c r="D225" t="s">
        <v>14</v>
      </c>
      <c r="E225" t="s">
        <v>21</v>
      </c>
      <c r="F225" t="s">
        <v>16</v>
      </c>
      <c r="G225" t="s">
        <v>22</v>
      </c>
      <c r="H225" t="s">
        <v>31</v>
      </c>
      <c r="I225">
        <v>24</v>
      </c>
      <c r="J225">
        <v>74.19</v>
      </c>
      <c r="K225">
        <v>5</v>
      </c>
      <c r="L225">
        <v>1691.53</v>
      </c>
      <c r="M225">
        <f t="shared" si="3"/>
        <v>1691.5319999999999</v>
      </c>
    </row>
    <row r="226" spans="1:13" x14ac:dyDescent="0.3">
      <c r="A226" t="s">
        <v>283</v>
      </c>
      <c r="B226" s="1">
        <v>45814</v>
      </c>
      <c r="C226" t="s">
        <v>71</v>
      </c>
      <c r="D226" t="s">
        <v>64</v>
      </c>
      <c r="E226" t="s">
        <v>101</v>
      </c>
      <c r="F226" t="s">
        <v>16</v>
      </c>
      <c r="G226" t="s">
        <v>22</v>
      </c>
      <c r="H226" t="s">
        <v>26</v>
      </c>
      <c r="I226">
        <v>10</v>
      </c>
      <c r="J226">
        <v>139.91</v>
      </c>
      <c r="K226">
        <v>20</v>
      </c>
      <c r="L226">
        <v>1119.28</v>
      </c>
      <c r="M226">
        <f t="shared" si="3"/>
        <v>1119.28</v>
      </c>
    </row>
    <row r="227" spans="1:13" x14ac:dyDescent="0.3">
      <c r="A227" t="s">
        <v>284</v>
      </c>
      <c r="B227" s="1">
        <v>45684</v>
      </c>
      <c r="C227" t="s">
        <v>33</v>
      </c>
      <c r="D227" t="s">
        <v>14</v>
      </c>
      <c r="E227" t="s">
        <v>15</v>
      </c>
      <c r="F227" t="s">
        <v>16</v>
      </c>
      <c r="G227" t="s">
        <v>37</v>
      </c>
      <c r="H227" t="s">
        <v>31</v>
      </c>
      <c r="I227">
        <v>16</v>
      </c>
      <c r="J227">
        <v>124.33</v>
      </c>
      <c r="K227">
        <v>10</v>
      </c>
      <c r="L227">
        <v>1790.35</v>
      </c>
      <c r="M227">
        <f t="shared" si="3"/>
        <v>1790.3520000000001</v>
      </c>
    </row>
    <row r="228" spans="1:13" x14ac:dyDescent="0.3">
      <c r="A228" t="s">
        <v>285</v>
      </c>
      <c r="B228" s="1">
        <v>45741</v>
      </c>
      <c r="C228" t="s">
        <v>89</v>
      </c>
      <c r="D228" t="s">
        <v>64</v>
      </c>
      <c r="E228" t="s">
        <v>101</v>
      </c>
      <c r="F228" t="s">
        <v>16</v>
      </c>
      <c r="G228" t="s">
        <v>25</v>
      </c>
      <c r="H228" t="s">
        <v>26</v>
      </c>
      <c r="I228">
        <v>22</v>
      </c>
      <c r="J228">
        <v>119.01</v>
      </c>
      <c r="K228">
        <v>20</v>
      </c>
      <c r="L228">
        <v>2094.58</v>
      </c>
      <c r="M228">
        <f t="shared" si="3"/>
        <v>2094.5760000000005</v>
      </c>
    </row>
    <row r="229" spans="1:13" x14ac:dyDescent="0.3">
      <c r="A229" t="s">
        <v>286</v>
      </c>
      <c r="B229" s="1">
        <v>45672</v>
      </c>
      <c r="C229" t="s">
        <v>86</v>
      </c>
      <c r="D229" t="s">
        <v>14</v>
      </c>
      <c r="E229" t="s">
        <v>21</v>
      </c>
      <c r="F229" t="s">
        <v>16</v>
      </c>
      <c r="G229" t="s">
        <v>17</v>
      </c>
      <c r="H229" t="s">
        <v>26</v>
      </c>
      <c r="I229">
        <v>4</v>
      </c>
      <c r="J229">
        <v>72.180000000000007</v>
      </c>
      <c r="K229">
        <v>5</v>
      </c>
      <c r="L229">
        <v>274.27999999999997</v>
      </c>
      <c r="M229">
        <f t="shared" si="3"/>
        <v>274.28399999999999</v>
      </c>
    </row>
    <row r="230" spans="1:13" x14ac:dyDescent="0.3">
      <c r="A230" t="s">
        <v>287</v>
      </c>
      <c r="B230" s="1">
        <v>45928</v>
      </c>
      <c r="C230" t="s">
        <v>81</v>
      </c>
      <c r="D230" t="s">
        <v>64</v>
      </c>
      <c r="E230" t="s">
        <v>21</v>
      </c>
      <c r="F230" t="s">
        <v>16</v>
      </c>
      <c r="G230" t="s">
        <v>37</v>
      </c>
      <c r="H230" t="s">
        <v>26</v>
      </c>
      <c r="I230">
        <v>26</v>
      </c>
      <c r="J230">
        <v>125.16</v>
      </c>
      <c r="K230">
        <v>5</v>
      </c>
      <c r="L230">
        <v>3091.45</v>
      </c>
      <c r="M230">
        <f t="shared" si="3"/>
        <v>3091.4519999999998</v>
      </c>
    </row>
    <row r="231" spans="1:13" x14ac:dyDescent="0.3">
      <c r="A231" t="s">
        <v>288</v>
      </c>
      <c r="B231" s="1">
        <v>45665</v>
      </c>
      <c r="C231" t="s">
        <v>28</v>
      </c>
      <c r="D231" t="s">
        <v>14</v>
      </c>
      <c r="E231" t="s">
        <v>34</v>
      </c>
      <c r="F231" t="s">
        <v>35</v>
      </c>
      <c r="G231" t="s">
        <v>37</v>
      </c>
      <c r="H231" t="s">
        <v>31</v>
      </c>
      <c r="I231">
        <v>26</v>
      </c>
      <c r="J231">
        <v>225.48</v>
      </c>
      <c r="K231">
        <v>20</v>
      </c>
      <c r="L231">
        <v>4689.9799999999996</v>
      </c>
      <c r="M231">
        <f t="shared" si="3"/>
        <v>4689.9839999999995</v>
      </c>
    </row>
    <row r="232" spans="1:13" x14ac:dyDescent="0.3">
      <c r="A232" t="s">
        <v>289</v>
      </c>
      <c r="B232" s="1">
        <v>45838</v>
      </c>
      <c r="C232" t="s">
        <v>42</v>
      </c>
      <c r="D232" t="s">
        <v>43</v>
      </c>
      <c r="E232" t="s">
        <v>34</v>
      </c>
      <c r="F232" t="s">
        <v>35</v>
      </c>
      <c r="G232" t="s">
        <v>25</v>
      </c>
      <c r="H232" t="s">
        <v>31</v>
      </c>
      <c r="I232">
        <v>21</v>
      </c>
      <c r="J232">
        <v>135.54</v>
      </c>
      <c r="K232">
        <v>20</v>
      </c>
      <c r="L232">
        <v>2277.0700000000002</v>
      </c>
      <c r="M232">
        <f t="shared" si="3"/>
        <v>2277.0719999999997</v>
      </c>
    </row>
    <row r="233" spans="1:13" x14ac:dyDescent="0.3">
      <c r="A233" t="s">
        <v>290</v>
      </c>
      <c r="B233" s="1">
        <v>45879</v>
      </c>
      <c r="C233" t="s">
        <v>24</v>
      </c>
      <c r="D233" t="s">
        <v>14</v>
      </c>
      <c r="E233" t="s">
        <v>52</v>
      </c>
      <c r="F233" t="s">
        <v>53</v>
      </c>
      <c r="G233" t="s">
        <v>25</v>
      </c>
      <c r="H233" t="s">
        <v>18</v>
      </c>
      <c r="I233">
        <v>21</v>
      </c>
      <c r="J233">
        <v>68.849999999999994</v>
      </c>
      <c r="K233">
        <v>0</v>
      </c>
      <c r="L233">
        <v>1445.85</v>
      </c>
      <c r="M233">
        <f t="shared" si="3"/>
        <v>1445.85</v>
      </c>
    </row>
    <row r="234" spans="1:13" x14ac:dyDescent="0.3">
      <c r="A234" t="s">
        <v>291</v>
      </c>
      <c r="B234" s="1">
        <v>45823</v>
      </c>
      <c r="C234" t="s">
        <v>45</v>
      </c>
      <c r="D234" t="s">
        <v>46</v>
      </c>
      <c r="E234" t="s">
        <v>56</v>
      </c>
      <c r="F234" t="s">
        <v>48</v>
      </c>
      <c r="G234" t="s">
        <v>17</v>
      </c>
      <c r="H234" t="s">
        <v>31</v>
      </c>
      <c r="I234">
        <v>13</v>
      </c>
      <c r="J234">
        <v>275.36</v>
      </c>
      <c r="K234">
        <v>0</v>
      </c>
      <c r="L234">
        <v>3579.68</v>
      </c>
      <c r="M234">
        <f t="shared" si="3"/>
        <v>3579.6800000000003</v>
      </c>
    </row>
    <row r="235" spans="1:13" x14ac:dyDescent="0.3">
      <c r="A235" t="s">
        <v>292</v>
      </c>
      <c r="B235" s="1">
        <v>46001</v>
      </c>
      <c r="C235" t="s">
        <v>79</v>
      </c>
      <c r="D235" t="s">
        <v>43</v>
      </c>
      <c r="E235" t="s">
        <v>73</v>
      </c>
      <c r="F235" t="s">
        <v>74</v>
      </c>
      <c r="G235" t="s">
        <v>37</v>
      </c>
      <c r="H235" t="s">
        <v>18</v>
      </c>
      <c r="I235">
        <v>23</v>
      </c>
      <c r="J235">
        <v>243.93</v>
      </c>
      <c r="K235">
        <v>20</v>
      </c>
      <c r="L235">
        <v>4488.3100000000004</v>
      </c>
      <c r="M235">
        <f t="shared" si="3"/>
        <v>4488.3120000000008</v>
      </c>
    </row>
    <row r="236" spans="1:13" x14ac:dyDescent="0.3">
      <c r="A236" t="s">
        <v>293</v>
      </c>
      <c r="B236" s="1">
        <v>45977</v>
      </c>
      <c r="C236" t="s">
        <v>24</v>
      </c>
      <c r="D236" t="s">
        <v>14</v>
      </c>
      <c r="E236" t="s">
        <v>34</v>
      </c>
      <c r="F236" t="s">
        <v>35</v>
      </c>
      <c r="G236" t="s">
        <v>37</v>
      </c>
      <c r="H236" t="s">
        <v>26</v>
      </c>
      <c r="I236">
        <v>18</v>
      </c>
      <c r="J236">
        <v>58.65</v>
      </c>
      <c r="K236">
        <v>5</v>
      </c>
      <c r="L236">
        <v>1002.92</v>
      </c>
      <c r="M236">
        <f t="shared" si="3"/>
        <v>1002.915</v>
      </c>
    </row>
    <row r="237" spans="1:13" x14ac:dyDescent="0.3">
      <c r="A237" t="s">
        <v>294</v>
      </c>
      <c r="B237" s="1">
        <v>45759</v>
      </c>
      <c r="C237" t="s">
        <v>81</v>
      </c>
      <c r="D237" t="s">
        <v>64</v>
      </c>
      <c r="E237" t="s">
        <v>47</v>
      </c>
      <c r="F237" t="s">
        <v>48</v>
      </c>
      <c r="G237" t="s">
        <v>37</v>
      </c>
      <c r="H237" t="s">
        <v>18</v>
      </c>
      <c r="I237">
        <v>14</v>
      </c>
      <c r="J237">
        <v>126.17</v>
      </c>
      <c r="K237">
        <v>15</v>
      </c>
      <c r="L237">
        <v>1501.42</v>
      </c>
      <c r="M237">
        <f t="shared" si="3"/>
        <v>1501.423</v>
      </c>
    </row>
    <row r="238" spans="1:13" x14ac:dyDescent="0.3">
      <c r="A238" t="s">
        <v>295</v>
      </c>
      <c r="B238" s="1">
        <v>45733</v>
      </c>
      <c r="C238" t="s">
        <v>55</v>
      </c>
      <c r="D238" t="s">
        <v>14</v>
      </c>
      <c r="E238" t="s">
        <v>60</v>
      </c>
      <c r="F238" t="s">
        <v>61</v>
      </c>
      <c r="G238" t="s">
        <v>22</v>
      </c>
      <c r="H238" t="s">
        <v>31</v>
      </c>
      <c r="I238">
        <v>20</v>
      </c>
      <c r="J238">
        <v>165.78</v>
      </c>
      <c r="K238">
        <v>0</v>
      </c>
      <c r="L238">
        <v>3315.6</v>
      </c>
      <c r="M238">
        <f t="shared" si="3"/>
        <v>3315.6</v>
      </c>
    </row>
    <row r="239" spans="1:13" x14ac:dyDescent="0.3">
      <c r="A239" t="s">
        <v>296</v>
      </c>
      <c r="B239" s="1">
        <v>46010</v>
      </c>
      <c r="C239" t="s">
        <v>55</v>
      </c>
      <c r="D239" t="s">
        <v>14</v>
      </c>
      <c r="E239" t="s">
        <v>47</v>
      </c>
      <c r="F239" t="s">
        <v>48</v>
      </c>
      <c r="G239" t="s">
        <v>25</v>
      </c>
      <c r="H239" t="s">
        <v>26</v>
      </c>
      <c r="I239">
        <v>11</v>
      </c>
      <c r="J239">
        <v>189.93</v>
      </c>
      <c r="K239">
        <v>5</v>
      </c>
      <c r="L239">
        <v>1984.77</v>
      </c>
      <c r="M239">
        <f t="shared" si="3"/>
        <v>1984.7684999999999</v>
      </c>
    </row>
    <row r="240" spans="1:13" x14ac:dyDescent="0.3">
      <c r="A240" t="s">
        <v>297</v>
      </c>
      <c r="B240" s="1">
        <v>45773</v>
      </c>
      <c r="C240" t="s">
        <v>81</v>
      </c>
      <c r="D240" t="s">
        <v>64</v>
      </c>
      <c r="E240" t="s">
        <v>101</v>
      </c>
      <c r="F240" t="s">
        <v>16</v>
      </c>
      <c r="G240" t="s">
        <v>17</v>
      </c>
      <c r="H240" t="s">
        <v>26</v>
      </c>
      <c r="I240">
        <v>14</v>
      </c>
      <c r="J240">
        <v>109.98</v>
      </c>
      <c r="K240">
        <v>20</v>
      </c>
      <c r="L240">
        <v>1231.78</v>
      </c>
      <c r="M240">
        <f t="shared" si="3"/>
        <v>1231.7760000000001</v>
      </c>
    </row>
    <row r="241" spans="1:13" x14ac:dyDescent="0.3">
      <c r="A241" t="s">
        <v>298</v>
      </c>
      <c r="B241" s="1">
        <v>45800</v>
      </c>
      <c r="C241" t="s">
        <v>20</v>
      </c>
      <c r="D241" t="s">
        <v>14</v>
      </c>
      <c r="E241" t="s">
        <v>47</v>
      </c>
      <c r="F241" t="s">
        <v>48</v>
      </c>
      <c r="G241" t="s">
        <v>22</v>
      </c>
      <c r="H241" t="s">
        <v>31</v>
      </c>
      <c r="I241">
        <v>7</v>
      </c>
      <c r="J241">
        <v>146.96</v>
      </c>
      <c r="K241">
        <v>5</v>
      </c>
      <c r="L241">
        <v>977.28</v>
      </c>
      <c r="M241">
        <f t="shared" si="3"/>
        <v>977.28399999999999</v>
      </c>
    </row>
    <row r="242" spans="1:13" x14ac:dyDescent="0.3">
      <c r="A242" t="s">
        <v>299</v>
      </c>
      <c r="B242" s="1">
        <v>45780</v>
      </c>
      <c r="C242" t="s">
        <v>81</v>
      </c>
      <c r="D242" t="s">
        <v>64</v>
      </c>
      <c r="E242" t="s">
        <v>66</v>
      </c>
      <c r="F242" t="s">
        <v>67</v>
      </c>
      <c r="G242" t="s">
        <v>22</v>
      </c>
      <c r="H242" t="s">
        <v>26</v>
      </c>
      <c r="I242">
        <v>9</v>
      </c>
      <c r="J242">
        <v>123.27</v>
      </c>
      <c r="K242">
        <v>10</v>
      </c>
      <c r="L242">
        <v>998.49</v>
      </c>
      <c r="M242">
        <f t="shared" si="3"/>
        <v>998.48700000000008</v>
      </c>
    </row>
    <row r="243" spans="1:13" x14ac:dyDescent="0.3">
      <c r="A243" t="s">
        <v>300</v>
      </c>
      <c r="B243" s="1">
        <v>45861</v>
      </c>
      <c r="C243" t="s">
        <v>86</v>
      </c>
      <c r="D243" t="s">
        <v>14</v>
      </c>
      <c r="E243" t="s">
        <v>73</v>
      </c>
      <c r="F243" t="s">
        <v>74</v>
      </c>
      <c r="G243" t="s">
        <v>25</v>
      </c>
      <c r="H243" t="s">
        <v>26</v>
      </c>
      <c r="I243">
        <v>8</v>
      </c>
      <c r="J243">
        <v>76.69</v>
      </c>
      <c r="K243">
        <v>0</v>
      </c>
      <c r="L243">
        <v>613.52</v>
      </c>
      <c r="M243">
        <f t="shared" si="3"/>
        <v>613.52</v>
      </c>
    </row>
    <row r="244" spans="1:13" x14ac:dyDescent="0.3">
      <c r="A244" t="s">
        <v>301</v>
      </c>
      <c r="B244" s="1">
        <v>45664</v>
      </c>
      <c r="C244" t="s">
        <v>24</v>
      </c>
      <c r="D244" t="s">
        <v>14</v>
      </c>
      <c r="E244" t="s">
        <v>60</v>
      </c>
      <c r="F244" t="s">
        <v>61</v>
      </c>
      <c r="G244" t="s">
        <v>25</v>
      </c>
      <c r="H244" t="s">
        <v>31</v>
      </c>
      <c r="I244">
        <v>21</v>
      </c>
      <c r="J244">
        <v>62.91</v>
      </c>
      <c r="K244">
        <v>10</v>
      </c>
      <c r="L244">
        <v>1189</v>
      </c>
      <c r="M244">
        <f t="shared" si="3"/>
        <v>1188.999</v>
      </c>
    </row>
    <row r="245" spans="1:13" x14ac:dyDescent="0.3">
      <c r="A245" t="s">
        <v>302</v>
      </c>
      <c r="B245" s="1">
        <v>45784</v>
      </c>
      <c r="C245" t="s">
        <v>33</v>
      </c>
      <c r="D245" t="s">
        <v>14</v>
      </c>
      <c r="E245" t="s">
        <v>15</v>
      </c>
      <c r="F245" t="s">
        <v>16</v>
      </c>
      <c r="G245" t="s">
        <v>37</v>
      </c>
      <c r="H245" t="s">
        <v>31</v>
      </c>
      <c r="I245">
        <v>27</v>
      </c>
      <c r="J245">
        <v>126.81</v>
      </c>
      <c r="K245">
        <v>10</v>
      </c>
      <c r="L245">
        <v>3081.48</v>
      </c>
      <c r="M245">
        <f t="shared" si="3"/>
        <v>3081.4830000000002</v>
      </c>
    </row>
    <row r="246" spans="1:13" x14ac:dyDescent="0.3">
      <c r="A246" t="s">
        <v>303</v>
      </c>
      <c r="B246" s="1">
        <v>45744</v>
      </c>
      <c r="C246" t="s">
        <v>55</v>
      </c>
      <c r="D246" t="s">
        <v>14</v>
      </c>
      <c r="E246" t="s">
        <v>52</v>
      </c>
      <c r="F246" t="s">
        <v>53</v>
      </c>
      <c r="G246" t="s">
        <v>25</v>
      </c>
      <c r="H246" t="s">
        <v>31</v>
      </c>
      <c r="I246">
        <v>12</v>
      </c>
      <c r="J246">
        <v>188.09</v>
      </c>
      <c r="K246">
        <v>15</v>
      </c>
      <c r="L246">
        <v>1918.52</v>
      </c>
      <c r="M246">
        <f t="shared" si="3"/>
        <v>1918.5179999999998</v>
      </c>
    </row>
    <row r="247" spans="1:13" x14ac:dyDescent="0.3">
      <c r="A247" t="s">
        <v>304</v>
      </c>
      <c r="B247" s="1">
        <v>45830</v>
      </c>
      <c r="C247" t="s">
        <v>28</v>
      </c>
      <c r="D247" t="s">
        <v>14</v>
      </c>
      <c r="E247" t="s">
        <v>73</v>
      </c>
      <c r="F247" t="s">
        <v>74</v>
      </c>
      <c r="G247" t="s">
        <v>17</v>
      </c>
      <c r="H247" t="s">
        <v>18</v>
      </c>
      <c r="I247">
        <v>27</v>
      </c>
      <c r="J247">
        <v>202.82</v>
      </c>
      <c r="K247">
        <v>15</v>
      </c>
      <c r="L247">
        <v>4654.72</v>
      </c>
      <c r="M247">
        <f t="shared" si="3"/>
        <v>4654.7189999999991</v>
      </c>
    </row>
    <row r="248" spans="1:13" x14ac:dyDescent="0.3">
      <c r="A248" t="s">
        <v>305</v>
      </c>
      <c r="B248" s="1">
        <v>45868</v>
      </c>
      <c r="C248" t="s">
        <v>24</v>
      </c>
      <c r="D248" t="s">
        <v>14</v>
      </c>
      <c r="E248" t="s">
        <v>56</v>
      </c>
      <c r="F248" t="s">
        <v>48</v>
      </c>
      <c r="G248" t="s">
        <v>17</v>
      </c>
      <c r="H248" t="s">
        <v>18</v>
      </c>
      <c r="I248">
        <v>20</v>
      </c>
      <c r="J248">
        <v>60.6</v>
      </c>
      <c r="K248">
        <v>5</v>
      </c>
      <c r="L248">
        <v>1151.4000000000001</v>
      </c>
      <c r="M248">
        <f t="shared" si="3"/>
        <v>1151.3999999999999</v>
      </c>
    </row>
    <row r="249" spans="1:13" x14ac:dyDescent="0.3">
      <c r="A249" t="s">
        <v>306</v>
      </c>
      <c r="B249" s="1">
        <v>45900</v>
      </c>
      <c r="C249" t="s">
        <v>86</v>
      </c>
      <c r="D249" t="s">
        <v>14</v>
      </c>
      <c r="E249" t="s">
        <v>29</v>
      </c>
      <c r="F249" t="s">
        <v>30</v>
      </c>
      <c r="G249" t="s">
        <v>37</v>
      </c>
      <c r="H249" t="s">
        <v>26</v>
      </c>
      <c r="I249">
        <v>28</v>
      </c>
      <c r="J249">
        <v>77.25</v>
      </c>
      <c r="K249">
        <v>5</v>
      </c>
      <c r="L249">
        <v>2054.85</v>
      </c>
      <c r="M249">
        <f t="shared" si="3"/>
        <v>2054.85</v>
      </c>
    </row>
    <row r="250" spans="1:13" x14ac:dyDescent="0.3">
      <c r="A250" t="s">
        <v>307</v>
      </c>
      <c r="B250" s="1">
        <v>46007</v>
      </c>
      <c r="C250" t="s">
        <v>89</v>
      </c>
      <c r="D250" t="s">
        <v>64</v>
      </c>
      <c r="E250" t="s">
        <v>47</v>
      </c>
      <c r="F250" t="s">
        <v>48</v>
      </c>
      <c r="G250" t="s">
        <v>22</v>
      </c>
      <c r="H250" t="s">
        <v>18</v>
      </c>
      <c r="I250">
        <v>2</v>
      </c>
      <c r="J250">
        <v>117.49</v>
      </c>
      <c r="K250">
        <v>0</v>
      </c>
      <c r="L250">
        <v>234.98</v>
      </c>
      <c r="M250">
        <f t="shared" si="3"/>
        <v>234.98</v>
      </c>
    </row>
    <row r="251" spans="1:13" x14ac:dyDescent="0.3">
      <c r="A251" t="s">
        <v>308</v>
      </c>
      <c r="B251" s="1">
        <v>45809</v>
      </c>
      <c r="C251" t="s">
        <v>104</v>
      </c>
      <c r="D251" t="s">
        <v>14</v>
      </c>
      <c r="E251" t="s">
        <v>66</v>
      </c>
      <c r="F251" t="s">
        <v>67</v>
      </c>
      <c r="G251" t="s">
        <v>17</v>
      </c>
      <c r="H251" t="s">
        <v>26</v>
      </c>
      <c r="I251">
        <v>5</v>
      </c>
      <c r="J251">
        <v>230.36</v>
      </c>
      <c r="K251">
        <v>15</v>
      </c>
      <c r="L251">
        <v>979.03</v>
      </c>
      <c r="M251">
        <f t="shared" si="3"/>
        <v>979.03000000000009</v>
      </c>
    </row>
    <row r="252" spans="1:13" x14ac:dyDescent="0.3">
      <c r="A252" t="s">
        <v>309</v>
      </c>
      <c r="B252" s="1">
        <v>45885</v>
      </c>
      <c r="C252" t="s">
        <v>81</v>
      </c>
      <c r="D252" t="s">
        <v>64</v>
      </c>
      <c r="E252" t="s">
        <v>101</v>
      </c>
      <c r="F252" t="s">
        <v>16</v>
      </c>
      <c r="G252" t="s">
        <v>22</v>
      </c>
      <c r="H252" t="s">
        <v>26</v>
      </c>
      <c r="I252">
        <v>5</v>
      </c>
      <c r="J252">
        <v>108.71</v>
      </c>
      <c r="K252">
        <v>5</v>
      </c>
      <c r="L252">
        <v>516.37</v>
      </c>
      <c r="M252">
        <f t="shared" si="3"/>
        <v>516.37249999999995</v>
      </c>
    </row>
    <row r="253" spans="1:13" x14ac:dyDescent="0.3">
      <c r="A253" t="s">
        <v>310</v>
      </c>
      <c r="B253" s="1">
        <v>45843</v>
      </c>
      <c r="C253" t="s">
        <v>81</v>
      </c>
      <c r="D253" t="s">
        <v>64</v>
      </c>
      <c r="E253" t="s">
        <v>39</v>
      </c>
      <c r="F253" t="s">
        <v>39</v>
      </c>
      <c r="G253" t="s">
        <v>37</v>
      </c>
      <c r="H253" t="s">
        <v>31</v>
      </c>
      <c r="I253">
        <v>8</v>
      </c>
      <c r="J253">
        <v>114.64</v>
      </c>
      <c r="K253">
        <v>10</v>
      </c>
      <c r="L253">
        <v>825.41</v>
      </c>
      <c r="M253">
        <f t="shared" si="3"/>
        <v>825.40800000000002</v>
      </c>
    </row>
    <row r="254" spans="1:13" x14ac:dyDescent="0.3">
      <c r="A254" t="s">
        <v>311</v>
      </c>
      <c r="B254" s="1">
        <v>46012</v>
      </c>
      <c r="C254" t="s">
        <v>86</v>
      </c>
      <c r="D254" t="s">
        <v>14</v>
      </c>
      <c r="E254" t="s">
        <v>52</v>
      </c>
      <c r="F254" t="s">
        <v>53</v>
      </c>
      <c r="G254" t="s">
        <v>22</v>
      </c>
      <c r="H254" t="s">
        <v>26</v>
      </c>
      <c r="I254">
        <v>19</v>
      </c>
      <c r="J254">
        <v>76.97</v>
      </c>
      <c r="K254">
        <v>0</v>
      </c>
      <c r="L254">
        <v>1462.43</v>
      </c>
      <c r="M254">
        <f t="shared" si="3"/>
        <v>1462.43</v>
      </c>
    </row>
    <row r="255" spans="1:13" x14ac:dyDescent="0.3">
      <c r="A255" t="s">
        <v>312</v>
      </c>
      <c r="B255" s="1">
        <v>45950</v>
      </c>
      <c r="C255" t="s">
        <v>20</v>
      </c>
      <c r="D255" t="s">
        <v>14</v>
      </c>
      <c r="E255" t="s">
        <v>60</v>
      </c>
      <c r="F255" t="s">
        <v>61</v>
      </c>
      <c r="G255" t="s">
        <v>37</v>
      </c>
      <c r="H255" t="s">
        <v>31</v>
      </c>
      <c r="I255">
        <v>24</v>
      </c>
      <c r="J255">
        <v>148.84</v>
      </c>
      <c r="K255">
        <v>5</v>
      </c>
      <c r="L255">
        <v>3393.55</v>
      </c>
      <c r="M255">
        <f t="shared" si="3"/>
        <v>3393.5519999999997</v>
      </c>
    </row>
    <row r="256" spans="1:13" x14ac:dyDescent="0.3">
      <c r="A256" t="s">
        <v>313</v>
      </c>
      <c r="B256" s="1">
        <v>45741</v>
      </c>
      <c r="C256" t="s">
        <v>104</v>
      </c>
      <c r="D256" t="s">
        <v>14</v>
      </c>
      <c r="E256" t="s">
        <v>47</v>
      </c>
      <c r="F256" t="s">
        <v>48</v>
      </c>
      <c r="G256" t="s">
        <v>17</v>
      </c>
      <c r="H256" t="s">
        <v>26</v>
      </c>
      <c r="I256">
        <v>23</v>
      </c>
      <c r="J256">
        <v>236.31</v>
      </c>
      <c r="K256">
        <v>0</v>
      </c>
      <c r="L256">
        <v>5435.13</v>
      </c>
      <c r="M256">
        <f t="shared" si="3"/>
        <v>5435.13</v>
      </c>
    </row>
    <row r="257" spans="1:13" x14ac:dyDescent="0.3">
      <c r="A257" t="s">
        <v>314</v>
      </c>
      <c r="B257" s="1">
        <v>45723</v>
      </c>
      <c r="C257" t="s">
        <v>81</v>
      </c>
      <c r="D257" t="s">
        <v>64</v>
      </c>
      <c r="E257" t="s">
        <v>56</v>
      </c>
      <c r="F257" t="s">
        <v>48</v>
      </c>
      <c r="G257" t="s">
        <v>25</v>
      </c>
      <c r="H257" t="s">
        <v>26</v>
      </c>
      <c r="I257">
        <v>28</v>
      </c>
      <c r="J257">
        <v>115.49</v>
      </c>
      <c r="K257">
        <v>15</v>
      </c>
      <c r="L257">
        <v>2748.66</v>
      </c>
      <c r="M257">
        <f t="shared" si="3"/>
        <v>2748.6619999999998</v>
      </c>
    </row>
    <row r="258" spans="1:13" x14ac:dyDescent="0.3">
      <c r="A258" t="s">
        <v>315</v>
      </c>
      <c r="B258" s="1">
        <v>45958</v>
      </c>
      <c r="C258" t="s">
        <v>89</v>
      </c>
      <c r="D258" t="s">
        <v>64</v>
      </c>
      <c r="E258" t="s">
        <v>29</v>
      </c>
      <c r="F258" t="s">
        <v>30</v>
      </c>
      <c r="G258" t="s">
        <v>17</v>
      </c>
      <c r="H258" t="s">
        <v>18</v>
      </c>
      <c r="I258">
        <v>2</v>
      </c>
      <c r="J258">
        <v>116.02</v>
      </c>
      <c r="K258">
        <v>15</v>
      </c>
      <c r="L258">
        <v>197.23</v>
      </c>
      <c r="M258">
        <f t="shared" ref="M258:M321" si="4">I258*J258*(1-K258/100)</f>
        <v>197.23399999999998</v>
      </c>
    </row>
    <row r="259" spans="1:13" x14ac:dyDescent="0.3">
      <c r="A259" t="s">
        <v>316</v>
      </c>
      <c r="B259" s="1">
        <v>45750</v>
      </c>
      <c r="C259" t="s">
        <v>13</v>
      </c>
      <c r="D259" t="s">
        <v>14</v>
      </c>
      <c r="E259" t="s">
        <v>34</v>
      </c>
      <c r="F259" t="s">
        <v>35</v>
      </c>
      <c r="G259" t="s">
        <v>25</v>
      </c>
      <c r="H259" t="s">
        <v>18</v>
      </c>
      <c r="I259">
        <v>23</v>
      </c>
      <c r="J259">
        <v>51.37</v>
      </c>
      <c r="K259">
        <v>5</v>
      </c>
      <c r="L259">
        <v>1122.43</v>
      </c>
      <c r="M259">
        <f t="shared" si="4"/>
        <v>1122.4344999999998</v>
      </c>
    </row>
    <row r="260" spans="1:13" x14ac:dyDescent="0.3">
      <c r="A260" t="s">
        <v>317</v>
      </c>
      <c r="B260" s="1">
        <v>45658</v>
      </c>
      <c r="C260" t="s">
        <v>20</v>
      </c>
      <c r="D260" t="s">
        <v>14</v>
      </c>
      <c r="E260" t="s">
        <v>52</v>
      </c>
      <c r="F260" t="s">
        <v>53</v>
      </c>
      <c r="G260" t="s">
        <v>25</v>
      </c>
      <c r="H260" t="s">
        <v>26</v>
      </c>
      <c r="I260">
        <v>2</v>
      </c>
      <c r="J260">
        <v>143.53</v>
      </c>
      <c r="K260">
        <v>10</v>
      </c>
      <c r="L260">
        <v>258.35000000000002</v>
      </c>
      <c r="M260">
        <f t="shared" si="4"/>
        <v>258.35399999999998</v>
      </c>
    </row>
    <row r="261" spans="1:13" x14ac:dyDescent="0.3">
      <c r="A261" t="s">
        <v>318</v>
      </c>
      <c r="B261" s="1">
        <v>45861</v>
      </c>
      <c r="C261" t="s">
        <v>55</v>
      </c>
      <c r="D261" t="s">
        <v>14</v>
      </c>
      <c r="E261" t="s">
        <v>47</v>
      </c>
      <c r="F261" t="s">
        <v>48</v>
      </c>
      <c r="G261" t="s">
        <v>37</v>
      </c>
      <c r="H261" t="s">
        <v>26</v>
      </c>
      <c r="I261">
        <v>12</v>
      </c>
      <c r="J261">
        <v>188.51</v>
      </c>
      <c r="K261">
        <v>20</v>
      </c>
      <c r="L261">
        <v>1809.7</v>
      </c>
      <c r="M261">
        <f t="shared" si="4"/>
        <v>1809.6959999999999</v>
      </c>
    </row>
    <row r="262" spans="1:13" x14ac:dyDescent="0.3">
      <c r="A262" t="s">
        <v>319</v>
      </c>
      <c r="B262" s="1">
        <v>45991</v>
      </c>
      <c r="C262" t="s">
        <v>104</v>
      </c>
      <c r="D262" t="s">
        <v>14</v>
      </c>
      <c r="E262" t="s">
        <v>101</v>
      </c>
      <c r="F262" t="s">
        <v>16</v>
      </c>
      <c r="G262" t="s">
        <v>17</v>
      </c>
      <c r="H262" t="s">
        <v>18</v>
      </c>
      <c r="I262">
        <v>16</v>
      </c>
      <c r="J262">
        <v>222.56</v>
      </c>
      <c r="K262">
        <v>10</v>
      </c>
      <c r="L262">
        <v>3204.86</v>
      </c>
      <c r="M262">
        <f t="shared" si="4"/>
        <v>3204.864</v>
      </c>
    </row>
    <row r="263" spans="1:13" x14ac:dyDescent="0.3">
      <c r="A263" t="s">
        <v>320</v>
      </c>
      <c r="B263" s="1">
        <v>45776</v>
      </c>
      <c r="C263" t="s">
        <v>81</v>
      </c>
      <c r="D263" t="s">
        <v>64</v>
      </c>
      <c r="E263" t="s">
        <v>73</v>
      </c>
      <c r="F263" t="s">
        <v>74</v>
      </c>
      <c r="G263" t="s">
        <v>22</v>
      </c>
      <c r="H263" t="s">
        <v>26</v>
      </c>
      <c r="I263">
        <v>21</v>
      </c>
      <c r="J263">
        <v>109.24</v>
      </c>
      <c r="K263">
        <v>0</v>
      </c>
      <c r="L263">
        <v>2294.04</v>
      </c>
      <c r="M263">
        <f t="shared" si="4"/>
        <v>2294.04</v>
      </c>
    </row>
    <row r="264" spans="1:13" x14ac:dyDescent="0.3">
      <c r="A264" t="s">
        <v>321</v>
      </c>
      <c r="B264" s="1">
        <v>45836</v>
      </c>
      <c r="C264" t="s">
        <v>89</v>
      </c>
      <c r="D264" t="s">
        <v>64</v>
      </c>
      <c r="E264" t="s">
        <v>47</v>
      </c>
      <c r="F264" t="s">
        <v>48</v>
      </c>
      <c r="G264" t="s">
        <v>17</v>
      </c>
      <c r="H264" t="s">
        <v>26</v>
      </c>
      <c r="I264">
        <v>28</v>
      </c>
      <c r="J264">
        <v>105.96</v>
      </c>
      <c r="K264">
        <v>0</v>
      </c>
      <c r="L264">
        <v>2966.88</v>
      </c>
      <c r="M264">
        <f t="shared" si="4"/>
        <v>2966.8799999999997</v>
      </c>
    </row>
    <row r="265" spans="1:13" x14ac:dyDescent="0.3">
      <c r="A265" t="s">
        <v>322</v>
      </c>
      <c r="B265" s="1">
        <v>45783</v>
      </c>
      <c r="C265" t="s">
        <v>45</v>
      </c>
      <c r="D265" t="s">
        <v>46</v>
      </c>
      <c r="E265" t="s">
        <v>52</v>
      </c>
      <c r="F265" t="s">
        <v>53</v>
      </c>
      <c r="G265" t="s">
        <v>25</v>
      </c>
      <c r="H265" t="s">
        <v>26</v>
      </c>
      <c r="I265">
        <v>19</v>
      </c>
      <c r="J265">
        <v>316.98</v>
      </c>
      <c r="K265">
        <v>10</v>
      </c>
      <c r="L265">
        <v>5420.36</v>
      </c>
      <c r="M265">
        <f t="shared" si="4"/>
        <v>5420.3580000000011</v>
      </c>
    </row>
    <row r="266" spans="1:13" x14ac:dyDescent="0.3">
      <c r="A266" t="s">
        <v>323</v>
      </c>
      <c r="B266" s="1">
        <v>45835</v>
      </c>
      <c r="C266" t="s">
        <v>81</v>
      </c>
      <c r="D266" t="s">
        <v>64</v>
      </c>
      <c r="E266" t="s">
        <v>73</v>
      </c>
      <c r="F266" t="s">
        <v>74</v>
      </c>
      <c r="G266" t="s">
        <v>25</v>
      </c>
      <c r="H266" t="s">
        <v>26</v>
      </c>
      <c r="I266">
        <v>26</v>
      </c>
      <c r="J266">
        <v>121.92</v>
      </c>
      <c r="K266">
        <v>10</v>
      </c>
      <c r="L266">
        <v>2852.93</v>
      </c>
      <c r="M266">
        <f t="shared" si="4"/>
        <v>2852.9280000000003</v>
      </c>
    </row>
    <row r="267" spans="1:13" x14ac:dyDescent="0.3">
      <c r="A267" t="s">
        <v>324</v>
      </c>
      <c r="B267" s="1">
        <v>45891</v>
      </c>
      <c r="C267" t="s">
        <v>13</v>
      </c>
      <c r="D267" t="s">
        <v>14</v>
      </c>
      <c r="E267" t="s">
        <v>52</v>
      </c>
      <c r="F267" t="s">
        <v>53</v>
      </c>
      <c r="G267" t="s">
        <v>25</v>
      </c>
      <c r="H267" t="s">
        <v>18</v>
      </c>
      <c r="I267">
        <v>14</v>
      </c>
      <c r="J267">
        <v>51.08</v>
      </c>
      <c r="K267">
        <v>5</v>
      </c>
      <c r="L267">
        <v>679.36</v>
      </c>
      <c r="M267">
        <f t="shared" si="4"/>
        <v>679.36399999999992</v>
      </c>
    </row>
    <row r="268" spans="1:13" x14ac:dyDescent="0.3">
      <c r="A268" t="s">
        <v>325</v>
      </c>
      <c r="B268" s="1">
        <v>46009</v>
      </c>
      <c r="C268" t="s">
        <v>28</v>
      </c>
      <c r="D268" t="s">
        <v>14</v>
      </c>
      <c r="E268" t="s">
        <v>56</v>
      </c>
      <c r="F268" t="s">
        <v>48</v>
      </c>
      <c r="G268" t="s">
        <v>37</v>
      </c>
      <c r="H268" t="s">
        <v>31</v>
      </c>
      <c r="I268">
        <v>22</v>
      </c>
      <c r="J268">
        <v>192.94</v>
      </c>
      <c r="K268">
        <v>20</v>
      </c>
      <c r="L268">
        <v>3395.74</v>
      </c>
      <c r="M268">
        <f t="shared" si="4"/>
        <v>3395.7440000000006</v>
      </c>
    </row>
    <row r="269" spans="1:13" x14ac:dyDescent="0.3">
      <c r="A269" t="s">
        <v>326</v>
      </c>
      <c r="B269" s="1">
        <v>45771</v>
      </c>
      <c r="C269" t="s">
        <v>86</v>
      </c>
      <c r="D269" t="s">
        <v>14</v>
      </c>
      <c r="E269" t="s">
        <v>29</v>
      </c>
      <c r="F269" t="s">
        <v>30</v>
      </c>
      <c r="G269" t="s">
        <v>22</v>
      </c>
      <c r="H269" t="s">
        <v>31</v>
      </c>
      <c r="I269">
        <v>16</v>
      </c>
      <c r="J269">
        <v>77.89</v>
      </c>
      <c r="K269">
        <v>5</v>
      </c>
      <c r="L269">
        <v>1183.93</v>
      </c>
      <c r="M269">
        <f t="shared" si="4"/>
        <v>1183.9279999999999</v>
      </c>
    </row>
    <row r="270" spans="1:13" x14ac:dyDescent="0.3">
      <c r="A270" t="s">
        <v>327</v>
      </c>
      <c r="B270" s="1">
        <v>45985</v>
      </c>
      <c r="C270" t="s">
        <v>81</v>
      </c>
      <c r="D270" t="s">
        <v>64</v>
      </c>
      <c r="E270" t="s">
        <v>101</v>
      </c>
      <c r="F270" t="s">
        <v>16</v>
      </c>
      <c r="G270" t="s">
        <v>25</v>
      </c>
      <c r="H270" t="s">
        <v>18</v>
      </c>
      <c r="I270">
        <v>9</v>
      </c>
      <c r="J270">
        <v>126.44</v>
      </c>
      <c r="K270">
        <v>10</v>
      </c>
      <c r="L270">
        <v>1024.1600000000001</v>
      </c>
      <c r="M270">
        <f t="shared" si="4"/>
        <v>1024.164</v>
      </c>
    </row>
    <row r="271" spans="1:13" x14ac:dyDescent="0.3">
      <c r="A271" t="s">
        <v>328</v>
      </c>
      <c r="B271" s="1">
        <v>45961</v>
      </c>
      <c r="C271" t="s">
        <v>55</v>
      </c>
      <c r="D271" t="s">
        <v>14</v>
      </c>
      <c r="E271" t="s">
        <v>15</v>
      </c>
      <c r="F271" t="s">
        <v>16</v>
      </c>
      <c r="G271" t="s">
        <v>17</v>
      </c>
      <c r="H271" t="s">
        <v>26</v>
      </c>
      <c r="I271">
        <v>20</v>
      </c>
      <c r="J271">
        <v>195.87</v>
      </c>
      <c r="K271">
        <v>20</v>
      </c>
      <c r="L271">
        <v>3133.92</v>
      </c>
      <c r="M271">
        <f t="shared" si="4"/>
        <v>3133.92</v>
      </c>
    </row>
    <row r="272" spans="1:13" x14ac:dyDescent="0.3">
      <c r="A272" t="s">
        <v>329</v>
      </c>
      <c r="B272" s="1">
        <v>45818</v>
      </c>
      <c r="C272" t="s">
        <v>104</v>
      </c>
      <c r="D272" t="s">
        <v>14</v>
      </c>
      <c r="E272" t="s">
        <v>73</v>
      </c>
      <c r="F272" t="s">
        <v>74</v>
      </c>
      <c r="G272" t="s">
        <v>25</v>
      </c>
      <c r="H272" t="s">
        <v>31</v>
      </c>
      <c r="I272">
        <v>29</v>
      </c>
      <c r="J272">
        <v>205.01</v>
      </c>
      <c r="K272">
        <v>0</v>
      </c>
      <c r="L272">
        <v>5945.29</v>
      </c>
      <c r="M272">
        <f t="shared" si="4"/>
        <v>5945.29</v>
      </c>
    </row>
    <row r="273" spans="1:13" x14ac:dyDescent="0.3">
      <c r="A273" t="s">
        <v>330</v>
      </c>
      <c r="B273" s="1">
        <v>45981</v>
      </c>
      <c r="C273" t="s">
        <v>55</v>
      </c>
      <c r="D273" t="s">
        <v>14</v>
      </c>
      <c r="E273" t="s">
        <v>73</v>
      </c>
      <c r="F273" t="s">
        <v>74</v>
      </c>
      <c r="G273" t="s">
        <v>37</v>
      </c>
      <c r="H273" t="s">
        <v>26</v>
      </c>
      <c r="I273">
        <v>10</v>
      </c>
      <c r="J273">
        <v>165.26</v>
      </c>
      <c r="K273">
        <v>0</v>
      </c>
      <c r="L273">
        <v>1652.6</v>
      </c>
      <c r="M273">
        <f t="shared" si="4"/>
        <v>1652.6</v>
      </c>
    </row>
    <row r="274" spans="1:13" x14ac:dyDescent="0.3">
      <c r="A274" t="s">
        <v>331</v>
      </c>
      <c r="B274" s="1">
        <v>45936</v>
      </c>
      <c r="C274" t="s">
        <v>81</v>
      </c>
      <c r="D274" t="s">
        <v>64</v>
      </c>
      <c r="E274" t="s">
        <v>47</v>
      </c>
      <c r="F274" t="s">
        <v>48</v>
      </c>
      <c r="G274" t="s">
        <v>25</v>
      </c>
      <c r="H274" t="s">
        <v>31</v>
      </c>
      <c r="I274">
        <v>20</v>
      </c>
      <c r="J274">
        <v>127.39</v>
      </c>
      <c r="K274">
        <v>5</v>
      </c>
      <c r="L274">
        <v>2420.41</v>
      </c>
      <c r="M274">
        <f t="shared" si="4"/>
        <v>2420.41</v>
      </c>
    </row>
    <row r="275" spans="1:13" x14ac:dyDescent="0.3">
      <c r="A275" t="s">
        <v>332</v>
      </c>
      <c r="B275" s="1">
        <v>45800</v>
      </c>
      <c r="C275" t="s">
        <v>89</v>
      </c>
      <c r="D275" t="s">
        <v>64</v>
      </c>
      <c r="E275" t="s">
        <v>34</v>
      </c>
      <c r="F275" t="s">
        <v>35</v>
      </c>
      <c r="G275" t="s">
        <v>17</v>
      </c>
      <c r="H275" t="s">
        <v>31</v>
      </c>
      <c r="I275">
        <v>23</v>
      </c>
      <c r="J275">
        <v>113.28</v>
      </c>
      <c r="K275">
        <v>20</v>
      </c>
      <c r="L275">
        <v>2084.35</v>
      </c>
      <c r="M275">
        <f t="shared" si="4"/>
        <v>2084.3520000000003</v>
      </c>
    </row>
    <row r="276" spans="1:13" x14ac:dyDescent="0.3">
      <c r="A276" t="s">
        <v>333</v>
      </c>
      <c r="B276" s="1">
        <v>45750</v>
      </c>
      <c r="C276" t="s">
        <v>63</v>
      </c>
      <c r="D276" t="s">
        <v>64</v>
      </c>
      <c r="E276" t="s">
        <v>52</v>
      </c>
      <c r="F276" t="s">
        <v>53</v>
      </c>
      <c r="G276" t="s">
        <v>25</v>
      </c>
      <c r="H276" t="s">
        <v>18</v>
      </c>
      <c r="I276">
        <v>16</v>
      </c>
      <c r="J276">
        <v>290.95</v>
      </c>
      <c r="K276">
        <v>15</v>
      </c>
      <c r="L276">
        <v>3956.92</v>
      </c>
      <c r="M276">
        <f t="shared" si="4"/>
        <v>3956.9199999999996</v>
      </c>
    </row>
    <row r="277" spans="1:13" x14ac:dyDescent="0.3">
      <c r="A277" t="s">
        <v>334</v>
      </c>
      <c r="B277" s="1">
        <v>45924</v>
      </c>
      <c r="C277" t="s">
        <v>55</v>
      </c>
      <c r="D277" t="s">
        <v>14</v>
      </c>
      <c r="E277" t="s">
        <v>101</v>
      </c>
      <c r="F277" t="s">
        <v>16</v>
      </c>
      <c r="G277" t="s">
        <v>17</v>
      </c>
      <c r="H277" t="s">
        <v>26</v>
      </c>
      <c r="I277">
        <v>4</v>
      </c>
      <c r="J277">
        <v>170.18</v>
      </c>
      <c r="K277">
        <v>5</v>
      </c>
      <c r="L277">
        <v>646.67999999999995</v>
      </c>
      <c r="M277">
        <f t="shared" si="4"/>
        <v>646.68399999999997</v>
      </c>
    </row>
    <row r="278" spans="1:13" x14ac:dyDescent="0.3">
      <c r="A278" t="s">
        <v>335</v>
      </c>
      <c r="B278" s="1">
        <v>45660</v>
      </c>
      <c r="C278" t="s">
        <v>89</v>
      </c>
      <c r="D278" t="s">
        <v>64</v>
      </c>
      <c r="E278" t="s">
        <v>60</v>
      </c>
      <c r="F278" t="s">
        <v>61</v>
      </c>
      <c r="G278" t="s">
        <v>25</v>
      </c>
      <c r="H278" t="s">
        <v>31</v>
      </c>
      <c r="I278">
        <v>11</v>
      </c>
      <c r="J278">
        <v>115.71</v>
      </c>
      <c r="K278">
        <v>0</v>
      </c>
      <c r="L278">
        <v>1272.81</v>
      </c>
      <c r="M278">
        <f t="shared" si="4"/>
        <v>1272.81</v>
      </c>
    </row>
    <row r="279" spans="1:13" x14ac:dyDescent="0.3">
      <c r="A279" t="s">
        <v>336</v>
      </c>
      <c r="B279" s="1">
        <v>45811</v>
      </c>
      <c r="C279" t="s">
        <v>104</v>
      </c>
      <c r="D279" t="s">
        <v>14</v>
      </c>
      <c r="E279" t="s">
        <v>66</v>
      </c>
      <c r="F279" t="s">
        <v>67</v>
      </c>
      <c r="G279" t="s">
        <v>37</v>
      </c>
      <c r="H279" t="s">
        <v>31</v>
      </c>
      <c r="I279">
        <v>7</v>
      </c>
      <c r="J279">
        <v>238.23</v>
      </c>
      <c r="K279">
        <v>20</v>
      </c>
      <c r="L279">
        <v>1334.09</v>
      </c>
      <c r="M279">
        <f t="shared" si="4"/>
        <v>1334.088</v>
      </c>
    </row>
    <row r="280" spans="1:13" x14ac:dyDescent="0.3">
      <c r="A280" t="s">
        <v>337</v>
      </c>
      <c r="B280" s="1">
        <v>45885</v>
      </c>
      <c r="C280" t="s">
        <v>55</v>
      </c>
      <c r="D280" t="s">
        <v>14</v>
      </c>
      <c r="E280" t="s">
        <v>52</v>
      </c>
      <c r="F280" t="s">
        <v>53</v>
      </c>
      <c r="G280" t="s">
        <v>17</v>
      </c>
      <c r="H280" t="s">
        <v>31</v>
      </c>
      <c r="I280">
        <v>17</v>
      </c>
      <c r="J280">
        <v>182.89</v>
      </c>
      <c r="K280">
        <v>15</v>
      </c>
      <c r="L280">
        <v>2642.76</v>
      </c>
      <c r="M280">
        <f t="shared" si="4"/>
        <v>2642.7604999999994</v>
      </c>
    </row>
    <row r="281" spans="1:13" x14ac:dyDescent="0.3">
      <c r="A281" t="s">
        <v>338</v>
      </c>
      <c r="B281" s="1">
        <v>45678</v>
      </c>
      <c r="C281" t="s">
        <v>42</v>
      </c>
      <c r="D281" t="s">
        <v>43</v>
      </c>
      <c r="E281" t="s">
        <v>34</v>
      </c>
      <c r="F281" t="s">
        <v>35</v>
      </c>
      <c r="G281" t="s">
        <v>37</v>
      </c>
      <c r="H281" t="s">
        <v>18</v>
      </c>
      <c r="I281">
        <v>7</v>
      </c>
      <c r="J281">
        <v>157.41</v>
      </c>
      <c r="K281">
        <v>15</v>
      </c>
      <c r="L281">
        <v>936.59</v>
      </c>
      <c r="M281">
        <f t="shared" si="4"/>
        <v>936.58949999999993</v>
      </c>
    </row>
    <row r="282" spans="1:13" x14ac:dyDescent="0.3">
      <c r="A282" t="s">
        <v>339</v>
      </c>
      <c r="B282" s="1">
        <v>45949</v>
      </c>
      <c r="C282" t="s">
        <v>13</v>
      </c>
      <c r="D282" t="s">
        <v>14</v>
      </c>
      <c r="E282" t="s">
        <v>34</v>
      </c>
      <c r="F282" t="s">
        <v>35</v>
      </c>
      <c r="G282" t="s">
        <v>22</v>
      </c>
      <c r="H282" t="s">
        <v>18</v>
      </c>
      <c r="I282">
        <v>22</v>
      </c>
      <c r="J282">
        <v>59.38</v>
      </c>
      <c r="K282">
        <v>0</v>
      </c>
      <c r="L282">
        <v>1306.3599999999999</v>
      </c>
      <c r="M282">
        <f t="shared" si="4"/>
        <v>1306.3600000000001</v>
      </c>
    </row>
    <row r="283" spans="1:13" x14ac:dyDescent="0.3">
      <c r="A283" t="s">
        <v>340</v>
      </c>
      <c r="B283" s="1">
        <v>45991</v>
      </c>
      <c r="C283" t="s">
        <v>33</v>
      </c>
      <c r="D283" t="s">
        <v>14</v>
      </c>
      <c r="E283" t="s">
        <v>21</v>
      </c>
      <c r="F283" t="s">
        <v>16</v>
      </c>
      <c r="G283" t="s">
        <v>22</v>
      </c>
      <c r="H283" t="s">
        <v>26</v>
      </c>
      <c r="I283">
        <v>14</v>
      </c>
      <c r="J283">
        <v>116.44</v>
      </c>
      <c r="K283">
        <v>5</v>
      </c>
      <c r="L283">
        <v>1548.65</v>
      </c>
      <c r="M283">
        <f t="shared" si="4"/>
        <v>1548.6519999999998</v>
      </c>
    </row>
    <row r="284" spans="1:13" x14ac:dyDescent="0.3">
      <c r="A284" t="s">
        <v>341</v>
      </c>
      <c r="B284" s="1">
        <v>45896</v>
      </c>
      <c r="C284" t="s">
        <v>69</v>
      </c>
      <c r="D284" t="s">
        <v>46</v>
      </c>
      <c r="E284" t="s">
        <v>15</v>
      </c>
      <c r="F284" t="s">
        <v>16</v>
      </c>
      <c r="G284" t="s">
        <v>37</v>
      </c>
      <c r="H284" t="s">
        <v>26</v>
      </c>
      <c r="I284">
        <v>21</v>
      </c>
      <c r="J284">
        <v>320.55</v>
      </c>
      <c r="K284">
        <v>20</v>
      </c>
      <c r="L284">
        <v>5385.24</v>
      </c>
      <c r="M284">
        <f t="shared" si="4"/>
        <v>5385.2400000000007</v>
      </c>
    </row>
    <row r="285" spans="1:13" x14ac:dyDescent="0.3">
      <c r="A285" t="s">
        <v>342</v>
      </c>
      <c r="B285" s="1">
        <v>45734</v>
      </c>
      <c r="C285" t="s">
        <v>28</v>
      </c>
      <c r="D285" t="s">
        <v>14</v>
      </c>
      <c r="E285" t="s">
        <v>21</v>
      </c>
      <c r="F285" t="s">
        <v>16</v>
      </c>
      <c r="G285" t="s">
        <v>37</v>
      </c>
      <c r="H285" t="s">
        <v>31</v>
      </c>
      <c r="I285">
        <v>5</v>
      </c>
      <c r="J285">
        <v>219.14</v>
      </c>
      <c r="K285">
        <v>5</v>
      </c>
      <c r="L285">
        <v>1040.9100000000001</v>
      </c>
      <c r="M285">
        <f t="shared" si="4"/>
        <v>1040.9149999999997</v>
      </c>
    </row>
    <row r="286" spans="1:13" x14ac:dyDescent="0.3">
      <c r="A286" t="s">
        <v>343</v>
      </c>
      <c r="B286" s="1">
        <v>45731</v>
      </c>
      <c r="C286" t="s">
        <v>71</v>
      </c>
      <c r="D286" t="s">
        <v>64</v>
      </c>
      <c r="E286" t="s">
        <v>66</v>
      </c>
      <c r="F286" t="s">
        <v>67</v>
      </c>
      <c r="G286" t="s">
        <v>17</v>
      </c>
      <c r="H286" t="s">
        <v>31</v>
      </c>
      <c r="I286">
        <v>12</v>
      </c>
      <c r="J286">
        <v>138.69999999999999</v>
      </c>
      <c r="K286">
        <v>15</v>
      </c>
      <c r="L286">
        <v>1414.74</v>
      </c>
      <c r="M286">
        <f t="shared" si="4"/>
        <v>1414.7399999999998</v>
      </c>
    </row>
    <row r="287" spans="1:13" x14ac:dyDescent="0.3">
      <c r="A287" t="s">
        <v>344</v>
      </c>
      <c r="B287" s="1">
        <v>45741</v>
      </c>
      <c r="C287" t="s">
        <v>13</v>
      </c>
      <c r="D287" t="s">
        <v>14</v>
      </c>
      <c r="E287" t="s">
        <v>56</v>
      </c>
      <c r="F287" t="s">
        <v>48</v>
      </c>
      <c r="G287" t="s">
        <v>22</v>
      </c>
      <c r="H287" t="s">
        <v>26</v>
      </c>
      <c r="I287">
        <v>11</v>
      </c>
      <c r="J287">
        <v>51.54</v>
      </c>
      <c r="K287">
        <v>15</v>
      </c>
      <c r="L287">
        <v>481.9</v>
      </c>
      <c r="M287">
        <f t="shared" si="4"/>
        <v>481.89899999999994</v>
      </c>
    </row>
    <row r="288" spans="1:13" x14ac:dyDescent="0.3">
      <c r="A288" t="s">
        <v>345</v>
      </c>
      <c r="B288" s="1">
        <v>46019</v>
      </c>
      <c r="C288" t="s">
        <v>71</v>
      </c>
      <c r="D288" t="s">
        <v>64</v>
      </c>
      <c r="E288" t="s">
        <v>47</v>
      </c>
      <c r="F288" t="s">
        <v>48</v>
      </c>
      <c r="G288" t="s">
        <v>22</v>
      </c>
      <c r="H288" t="s">
        <v>31</v>
      </c>
      <c r="I288">
        <v>2</v>
      </c>
      <c r="J288">
        <v>146.21</v>
      </c>
      <c r="K288">
        <v>20</v>
      </c>
      <c r="L288">
        <v>233.94</v>
      </c>
      <c r="M288">
        <f t="shared" si="4"/>
        <v>233.93600000000004</v>
      </c>
    </row>
    <row r="289" spans="1:13" x14ac:dyDescent="0.3">
      <c r="A289" t="s">
        <v>346</v>
      </c>
      <c r="B289" s="1">
        <v>45683</v>
      </c>
      <c r="C289" t="s">
        <v>42</v>
      </c>
      <c r="D289" t="s">
        <v>43</v>
      </c>
      <c r="E289" t="s">
        <v>34</v>
      </c>
      <c r="F289" t="s">
        <v>35</v>
      </c>
      <c r="G289" t="s">
        <v>17</v>
      </c>
      <c r="H289" t="s">
        <v>18</v>
      </c>
      <c r="I289">
        <v>23</v>
      </c>
      <c r="J289">
        <v>159.58000000000001</v>
      </c>
      <c r="K289">
        <v>15</v>
      </c>
      <c r="L289">
        <v>3119.79</v>
      </c>
      <c r="M289">
        <f t="shared" si="4"/>
        <v>3119.7890000000002</v>
      </c>
    </row>
    <row r="290" spans="1:13" x14ac:dyDescent="0.3">
      <c r="A290" t="s">
        <v>347</v>
      </c>
      <c r="B290" s="1">
        <v>45811</v>
      </c>
      <c r="C290" t="s">
        <v>55</v>
      </c>
      <c r="D290" t="s">
        <v>14</v>
      </c>
      <c r="E290" t="s">
        <v>66</v>
      </c>
      <c r="F290" t="s">
        <v>67</v>
      </c>
      <c r="G290" t="s">
        <v>37</v>
      </c>
      <c r="H290" t="s">
        <v>31</v>
      </c>
      <c r="I290">
        <v>26</v>
      </c>
      <c r="J290">
        <v>192.24</v>
      </c>
      <c r="K290">
        <v>0</v>
      </c>
      <c r="L290">
        <v>4998.24</v>
      </c>
      <c r="M290">
        <f t="shared" si="4"/>
        <v>4998.24</v>
      </c>
    </row>
    <row r="291" spans="1:13" x14ac:dyDescent="0.3">
      <c r="A291" t="s">
        <v>348</v>
      </c>
      <c r="B291" s="1">
        <v>45824</v>
      </c>
      <c r="C291" t="s">
        <v>33</v>
      </c>
      <c r="D291" t="s">
        <v>14</v>
      </c>
      <c r="E291" t="s">
        <v>29</v>
      </c>
      <c r="F291" t="s">
        <v>30</v>
      </c>
      <c r="G291" t="s">
        <v>37</v>
      </c>
      <c r="H291" t="s">
        <v>31</v>
      </c>
      <c r="I291">
        <v>25</v>
      </c>
      <c r="J291">
        <v>127.74</v>
      </c>
      <c r="K291">
        <v>15</v>
      </c>
      <c r="L291">
        <v>2714.48</v>
      </c>
      <c r="M291">
        <f t="shared" si="4"/>
        <v>2714.4749999999999</v>
      </c>
    </row>
    <row r="292" spans="1:13" x14ac:dyDescent="0.3">
      <c r="A292" t="s">
        <v>349</v>
      </c>
      <c r="B292" s="1">
        <v>45726</v>
      </c>
      <c r="C292" t="s">
        <v>20</v>
      </c>
      <c r="D292" t="s">
        <v>14</v>
      </c>
      <c r="E292" t="s">
        <v>73</v>
      </c>
      <c r="F292" t="s">
        <v>74</v>
      </c>
      <c r="G292" t="s">
        <v>25</v>
      </c>
      <c r="H292" t="s">
        <v>18</v>
      </c>
      <c r="I292">
        <v>5</v>
      </c>
      <c r="J292">
        <v>134.84</v>
      </c>
      <c r="K292">
        <v>5</v>
      </c>
      <c r="L292">
        <v>640.49</v>
      </c>
      <c r="M292">
        <f t="shared" si="4"/>
        <v>640.49</v>
      </c>
    </row>
    <row r="293" spans="1:13" x14ac:dyDescent="0.3">
      <c r="A293" t="s">
        <v>350</v>
      </c>
      <c r="B293" s="1">
        <v>45807</v>
      </c>
      <c r="C293" t="s">
        <v>42</v>
      </c>
      <c r="D293" t="s">
        <v>43</v>
      </c>
      <c r="E293" t="s">
        <v>101</v>
      </c>
      <c r="F293" t="s">
        <v>16</v>
      </c>
      <c r="G293" t="s">
        <v>22</v>
      </c>
      <c r="H293" t="s">
        <v>31</v>
      </c>
      <c r="I293">
        <v>2</v>
      </c>
      <c r="J293">
        <v>141.5</v>
      </c>
      <c r="K293">
        <v>0</v>
      </c>
      <c r="L293">
        <v>283</v>
      </c>
      <c r="M293">
        <f t="shared" si="4"/>
        <v>283</v>
      </c>
    </row>
    <row r="294" spans="1:13" x14ac:dyDescent="0.3">
      <c r="A294" t="s">
        <v>351</v>
      </c>
      <c r="B294" s="1">
        <v>45795</v>
      </c>
      <c r="C294" t="s">
        <v>79</v>
      </c>
      <c r="D294" t="s">
        <v>43</v>
      </c>
      <c r="E294" t="s">
        <v>29</v>
      </c>
      <c r="F294" t="s">
        <v>30</v>
      </c>
      <c r="G294" t="s">
        <v>22</v>
      </c>
      <c r="H294" t="s">
        <v>18</v>
      </c>
      <c r="I294">
        <v>29</v>
      </c>
      <c r="J294">
        <v>225.9</v>
      </c>
      <c r="K294">
        <v>10</v>
      </c>
      <c r="L294">
        <v>5895.99</v>
      </c>
      <c r="M294">
        <f t="shared" si="4"/>
        <v>5895.9900000000007</v>
      </c>
    </row>
    <row r="295" spans="1:13" x14ac:dyDescent="0.3">
      <c r="A295" t="s">
        <v>352</v>
      </c>
      <c r="B295" s="1">
        <v>45803</v>
      </c>
      <c r="C295" t="s">
        <v>55</v>
      </c>
      <c r="D295" t="s">
        <v>14</v>
      </c>
      <c r="E295" t="s">
        <v>73</v>
      </c>
      <c r="F295" t="s">
        <v>74</v>
      </c>
      <c r="G295" t="s">
        <v>25</v>
      </c>
      <c r="H295" t="s">
        <v>26</v>
      </c>
      <c r="I295">
        <v>3</v>
      </c>
      <c r="J295">
        <v>171.88</v>
      </c>
      <c r="K295">
        <v>20</v>
      </c>
      <c r="L295">
        <v>412.51</v>
      </c>
      <c r="M295">
        <f t="shared" si="4"/>
        <v>412.512</v>
      </c>
    </row>
    <row r="296" spans="1:13" x14ac:dyDescent="0.3">
      <c r="A296" t="s">
        <v>353</v>
      </c>
      <c r="B296" s="1">
        <v>45937</v>
      </c>
      <c r="C296" t="s">
        <v>89</v>
      </c>
      <c r="D296" t="s">
        <v>64</v>
      </c>
      <c r="E296" t="s">
        <v>66</v>
      </c>
      <c r="F296" t="s">
        <v>67</v>
      </c>
      <c r="G296" t="s">
        <v>25</v>
      </c>
      <c r="H296" t="s">
        <v>26</v>
      </c>
      <c r="I296">
        <v>8</v>
      </c>
      <c r="J296">
        <v>114.94</v>
      </c>
      <c r="K296">
        <v>10</v>
      </c>
      <c r="L296">
        <v>827.57</v>
      </c>
      <c r="M296">
        <f t="shared" si="4"/>
        <v>827.56799999999998</v>
      </c>
    </row>
    <row r="297" spans="1:13" x14ac:dyDescent="0.3">
      <c r="A297" t="s">
        <v>354</v>
      </c>
      <c r="B297" s="1">
        <v>45693</v>
      </c>
      <c r="C297" t="s">
        <v>28</v>
      </c>
      <c r="D297" t="s">
        <v>14</v>
      </c>
      <c r="E297" t="s">
        <v>21</v>
      </c>
      <c r="F297" t="s">
        <v>16</v>
      </c>
      <c r="G297" t="s">
        <v>37</v>
      </c>
      <c r="H297" t="s">
        <v>31</v>
      </c>
      <c r="I297">
        <v>7</v>
      </c>
      <c r="J297">
        <v>213.29</v>
      </c>
      <c r="K297">
        <v>20</v>
      </c>
      <c r="L297">
        <v>1194.42</v>
      </c>
      <c r="M297">
        <f t="shared" si="4"/>
        <v>1194.424</v>
      </c>
    </row>
    <row r="298" spans="1:13" x14ac:dyDescent="0.3">
      <c r="A298" t="s">
        <v>355</v>
      </c>
      <c r="B298" s="1">
        <v>45727</v>
      </c>
      <c r="C298" t="s">
        <v>24</v>
      </c>
      <c r="D298" t="s">
        <v>14</v>
      </c>
      <c r="E298" t="s">
        <v>29</v>
      </c>
      <c r="F298" t="s">
        <v>30</v>
      </c>
      <c r="G298" t="s">
        <v>17</v>
      </c>
      <c r="H298" t="s">
        <v>18</v>
      </c>
      <c r="I298">
        <v>10</v>
      </c>
      <c r="J298">
        <v>62.7</v>
      </c>
      <c r="K298">
        <v>10</v>
      </c>
      <c r="L298">
        <v>564.29999999999995</v>
      </c>
      <c r="M298">
        <f t="shared" si="4"/>
        <v>564.30000000000007</v>
      </c>
    </row>
    <row r="299" spans="1:13" x14ac:dyDescent="0.3">
      <c r="A299" t="s">
        <v>356</v>
      </c>
      <c r="B299" s="1">
        <v>45662</v>
      </c>
      <c r="C299" t="s">
        <v>55</v>
      </c>
      <c r="D299" t="s">
        <v>14</v>
      </c>
      <c r="E299" t="s">
        <v>56</v>
      </c>
      <c r="F299" t="s">
        <v>48</v>
      </c>
      <c r="G299" t="s">
        <v>37</v>
      </c>
      <c r="H299" t="s">
        <v>26</v>
      </c>
      <c r="I299">
        <v>18</v>
      </c>
      <c r="J299">
        <v>191.95</v>
      </c>
      <c r="K299">
        <v>15</v>
      </c>
      <c r="L299">
        <v>2936.84</v>
      </c>
      <c r="M299">
        <f t="shared" si="4"/>
        <v>2936.835</v>
      </c>
    </row>
    <row r="300" spans="1:13" x14ac:dyDescent="0.3">
      <c r="A300" t="s">
        <v>357</v>
      </c>
      <c r="B300" s="1">
        <v>45724</v>
      </c>
      <c r="C300" t="s">
        <v>28</v>
      </c>
      <c r="D300" t="s">
        <v>14</v>
      </c>
      <c r="E300" t="s">
        <v>34</v>
      </c>
      <c r="F300" t="s">
        <v>35</v>
      </c>
      <c r="G300" t="s">
        <v>37</v>
      </c>
      <c r="H300" t="s">
        <v>26</v>
      </c>
      <c r="I300">
        <v>9</v>
      </c>
      <c r="J300">
        <v>225.96</v>
      </c>
      <c r="K300">
        <v>5</v>
      </c>
      <c r="L300">
        <v>1931.96</v>
      </c>
      <c r="M300">
        <f t="shared" si="4"/>
        <v>1931.9580000000001</v>
      </c>
    </row>
    <row r="301" spans="1:13" x14ac:dyDescent="0.3">
      <c r="A301" t="s">
        <v>358</v>
      </c>
      <c r="B301" s="1">
        <v>45872</v>
      </c>
      <c r="C301" t="s">
        <v>86</v>
      </c>
      <c r="D301" t="s">
        <v>14</v>
      </c>
      <c r="E301" t="s">
        <v>52</v>
      </c>
      <c r="F301" t="s">
        <v>53</v>
      </c>
      <c r="G301" t="s">
        <v>17</v>
      </c>
      <c r="H301" t="s">
        <v>31</v>
      </c>
      <c r="I301">
        <v>4</v>
      </c>
      <c r="J301">
        <v>70.349999999999994</v>
      </c>
      <c r="K301">
        <v>5</v>
      </c>
      <c r="L301">
        <v>267.33</v>
      </c>
      <c r="M301">
        <f t="shared" si="4"/>
        <v>267.33</v>
      </c>
    </row>
    <row r="302" spans="1:13" x14ac:dyDescent="0.3">
      <c r="A302" t="s">
        <v>359</v>
      </c>
      <c r="B302" s="1">
        <v>45921</v>
      </c>
      <c r="C302" t="s">
        <v>28</v>
      </c>
      <c r="D302" t="s">
        <v>14</v>
      </c>
      <c r="E302" t="s">
        <v>39</v>
      </c>
      <c r="F302" t="s">
        <v>39</v>
      </c>
      <c r="G302" t="s">
        <v>25</v>
      </c>
      <c r="H302" t="s">
        <v>26</v>
      </c>
      <c r="I302">
        <v>4</v>
      </c>
      <c r="J302">
        <v>219.69</v>
      </c>
      <c r="K302">
        <v>15</v>
      </c>
      <c r="L302">
        <v>746.95</v>
      </c>
      <c r="M302">
        <f t="shared" si="4"/>
        <v>746.94600000000003</v>
      </c>
    </row>
    <row r="303" spans="1:13" x14ac:dyDescent="0.3">
      <c r="A303" t="s">
        <v>360</v>
      </c>
      <c r="B303" s="1">
        <v>45968</v>
      </c>
      <c r="C303" t="s">
        <v>86</v>
      </c>
      <c r="D303" t="s">
        <v>14</v>
      </c>
      <c r="E303" t="s">
        <v>52</v>
      </c>
      <c r="F303" t="s">
        <v>53</v>
      </c>
      <c r="G303" t="s">
        <v>25</v>
      </c>
      <c r="H303" t="s">
        <v>26</v>
      </c>
      <c r="I303">
        <v>14</v>
      </c>
      <c r="J303">
        <v>77.02</v>
      </c>
      <c r="K303">
        <v>0</v>
      </c>
      <c r="L303">
        <v>1078.28</v>
      </c>
      <c r="M303">
        <f t="shared" si="4"/>
        <v>1078.28</v>
      </c>
    </row>
    <row r="304" spans="1:13" x14ac:dyDescent="0.3">
      <c r="A304" t="s">
        <v>361</v>
      </c>
      <c r="B304" s="1">
        <v>45802</v>
      </c>
      <c r="C304" t="s">
        <v>79</v>
      </c>
      <c r="D304" t="s">
        <v>43</v>
      </c>
      <c r="E304" t="s">
        <v>66</v>
      </c>
      <c r="F304" t="s">
        <v>67</v>
      </c>
      <c r="G304" t="s">
        <v>25</v>
      </c>
      <c r="H304" t="s">
        <v>31</v>
      </c>
      <c r="I304">
        <v>26</v>
      </c>
      <c r="J304">
        <v>255.45</v>
      </c>
      <c r="K304">
        <v>15</v>
      </c>
      <c r="L304">
        <v>5645.44</v>
      </c>
      <c r="M304">
        <f t="shared" si="4"/>
        <v>5645.4449999999997</v>
      </c>
    </row>
    <row r="305" spans="1:13" x14ac:dyDescent="0.3">
      <c r="A305" t="s">
        <v>362</v>
      </c>
      <c r="B305" s="1">
        <v>45772</v>
      </c>
      <c r="C305" t="s">
        <v>79</v>
      </c>
      <c r="D305" t="s">
        <v>43</v>
      </c>
      <c r="E305" t="s">
        <v>52</v>
      </c>
      <c r="F305" t="s">
        <v>53</v>
      </c>
      <c r="G305" t="s">
        <v>37</v>
      </c>
      <c r="H305" t="s">
        <v>18</v>
      </c>
      <c r="I305">
        <v>17</v>
      </c>
      <c r="J305">
        <v>234.36</v>
      </c>
      <c r="K305">
        <v>15</v>
      </c>
      <c r="L305">
        <v>3386.5</v>
      </c>
      <c r="M305">
        <f t="shared" si="4"/>
        <v>3386.5020000000004</v>
      </c>
    </row>
    <row r="306" spans="1:13" x14ac:dyDescent="0.3">
      <c r="A306" t="s">
        <v>363</v>
      </c>
      <c r="B306" s="1">
        <v>45888</v>
      </c>
      <c r="C306" t="s">
        <v>24</v>
      </c>
      <c r="D306" t="s">
        <v>14</v>
      </c>
      <c r="E306" t="s">
        <v>47</v>
      </c>
      <c r="F306" t="s">
        <v>48</v>
      </c>
      <c r="G306" t="s">
        <v>17</v>
      </c>
      <c r="H306" t="s">
        <v>26</v>
      </c>
      <c r="I306">
        <v>26</v>
      </c>
      <c r="J306">
        <v>67.23</v>
      </c>
      <c r="K306">
        <v>15</v>
      </c>
      <c r="L306">
        <v>1485.78</v>
      </c>
      <c r="M306">
        <f t="shared" si="4"/>
        <v>1485.7829999999999</v>
      </c>
    </row>
    <row r="307" spans="1:13" x14ac:dyDescent="0.3">
      <c r="A307" t="s">
        <v>364</v>
      </c>
      <c r="B307" s="1">
        <v>45808</v>
      </c>
      <c r="C307" t="s">
        <v>79</v>
      </c>
      <c r="D307" t="s">
        <v>43</v>
      </c>
      <c r="E307" t="s">
        <v>101</v>
      </c>
      <c r="F307" t="s">
        <v>16</v>
      </c>
      <c r="G307" t="s">
        <v>17</v>
      </c>
      <c r="H307" t="s">
        <v>31</v>
      </c>
      <c r="I307">
        <v>21</v>
      </c>
      <c r="J307">
        <v>250.02</v>
      </c>
      <c r="K307">
        <v>15</v>
      </c>
      <c r="L307">
        <v>4462.8599999999997</v>
      </c>
      <c r="M307">
        <f t="shared" si="4"/>
        <v>4462.857</v>
      </c>
    </row>
    <row r="308" spans="1:13" x14ac:dyDescent="0.3">
      <c r="A308" t="s">
        <v>365</v>
      </c>
      <c r="B308" s="1">
        <v>45988</v>
      </c>
      <c r="C308" t="s">
        <v>81</v>
      </c>
      <c r="D308" t="s">
        <v>64</v>
      </c>
      <c r="E308" t="s">
        <v>39</v>
      </c>
      <c r="F308" t="s">
        <v>39</v>
      </c>
      <c r="G308" t="s">
        <v>17</v>
      </c>
      <c r="H308" t="s">
        <v>26</v>
      </c>
      <c r="I308">
        <v>3</v>
      </c>
      <c r="J308">
        <v>130.49</v>
      </c>
      <c r="K308">
        <v>0</v>
      </c>
      <c r="L308">
        <v>391.47</v>
      </c>
      <c r="M308">
        <f t="shared" si="4"/>
        <v>391.47</v>
      </c>
    </row>
    <row r="309" spans="1:13" x14ac:dyDescent="0.3">
      <c r="A309" t="s">
        <v>366</v>
      </c>
      <c r="B309" s="1">
        <v>45800</v>
      </c>
      <c r="C309" t="s">
        <v>89</v>
      </c>
      <c r="D309" t="s">
        <v>64</v>
      </c>
      <c r="E309" t="s">
        <v>15</v>
      </c>
      <c r="F309" t="s">
        <v>16</v>
      </c>
      <c r="G309" t="s">
        <v>25</v>
      </c>
      <c r="H309" t="s">
        <v>18</v>
      </c>
      <c r="I309">
        <v>27</v>
      </c>
      <c r="J309">
        <v>112.21</v>
      </c>
      <c r="K309">
        <v>10</v>
      </c>
      <c r="L309">
        <v>2726.7</v>
      </c>
      <c r="M309">
        <f t="shared" si="4"/>
        <v>2726.7029999999995</v>
      </c>
    </row>
    <row r="310" spans="1:13" x14ac:dyDescent="0.3">
      <c r="A310" t="s">
        <v>367</v>
      </c>
      <c r="B310" s="1">
        <v>45823</v>
      </c>
      <c r="C310" t="s">
        <v>86</v>
      </c>
      <c r="D310" t="s">
        <v>14</v>
      </c>
      <c r="E310" t="s">
        <v>52</v>
      </c>
      <c r="F310" t="s">
        <v>53</v>
      </c>
      <c r="G310" t="s">
        <v>17</v>
      </c>
      <c r="H310" t="s">
        <v>31</v>
      </c>
      <c r="I310">
        <v>13</v>
      </c>
      <c r="J310">
        <v>81.459999999999994</v>
      </c>
      <c r="K310">
        <v>5</v>
      </c>
      <c r="L310">
        <v>1006.03</v>
      </c>
      <c r="M310">
        <f t="shared" si="4"/>
        <v>1006.0309999999999</v>
      </c>
    </row>
    <row r="311" spans="1:13" x14ac:dyDescent="0.3">
      <c r="A311" t="s">
        <v>368</v>
      </c>
      <c r="B311" s="1">
        <v>45671</v>
      </c>
      <c r="C311" t="s">
        <v>81</v>
      </c>
      <c r="D311" t="s">
        <v>64</v>
      </c>
      <c r="E311" t="s">
        <v>21</v>
      </c>
      <c r="F311" t="s">
        <v>16</v>
      </c>
      <c r="G311" t="s">
        <v>25</v>
      </c>
      <c r="H311" t="s">
        <v>31</v>
      </c>
      <c r="I311">
        <v>15</v>
      </c>
      <c r="J311">
        <v>127.34</v>
      </c>
      <c r="K311">
        <v>15</v>
      </c>
      <c r="L311">
        <v>1623.58</v>
      </c>
      <c r="M311">
        <f t="shared" si="4"/>
        <v>1623.585</v>
      </c>
    </row>
    <row r="312" spans="1:13" x14ac:dyDescent="0.3">
      <c r="A312" t="s">
        <v>369</v>
      </c>
      <c r="B312" s="1">
        <v>45863</v>
      </c>
      <c r="C312" t="s">
        <v>55</v>
      </c>
      <c r="D312" t="s">
        <v>14</v>
      </c>
      <c r="E312" t="s">
        <v>29</v>
      </c>
      <c r="F312" t="s">
        <v>30</v>
      </c>
      <c r="G312" t="s">
        <v>22</v>
      </c>
      <c r="H312" t="s">
        <v>31</v>
      </c>
      <c r="I312">
        <v>28</v>
      </c>
      <c r="J312">
        <v>187.02</v>
      </c>
      <c r="K312">
        <v>5</v>
      </c>
      <c r="L312">
        <v>4974.7299999999996</v>
      </c>
      <c r="M312">
        <f t="shared" si="4"/>
        <v>4974.732</v>
      </c>
    </row>
    <row r="313" spans="1:13" x14ac:dyDescent="0.3">
      <c r="A313" t="s">
        <v>370</v>
      </c>
      <c r="B313" s="1">
        <v>45967</v>
      </c>
      <c r="C313" t="s">
        <v>71</v>
      </c>
      <c r="D313" t="s">
        <v>64</v>
      </c>
      <c r="E313" t="s">
        <v>39</v>
      </c>
      <c r="F313" t="s">
        <v>39</v>
      </c>
      <c r="G313" t="s">
        <v>37</v>
      </c>
      <c r="H313" t="s">
        <v>31</v>
      </c>
      <c r="I313">
        <v>26</v>
      </c>
      <c r="J313">
        <v>152.25</v>
      </c>
      <c r="K313">
        <v>20</v>
      </c>
      <c r="L313">
        <v>3166.8</v>
      </c>
      <c r="M313">
        <f t="shared" si="4"/>
        <v>3166.8</v>
      </c>
    </row>
    <row r="314" spans="1:13" x14ac:dyDescent="0.3">
      <c r="A314" t="s">
        <v>371</v>
      </c>
      <c r="B314" s="1">
        <v>45682</v>
      </c>
      <c r="C314" t="s">
        <v>63</v>
      </c>
      <c r="D314" t="s">
        <v>64</v>
      </c>
      <c r="E314" t="s">
        <v>15</v>
      </c>
      <c r="F314" t="s">
        <v>16</v>
      </c>
      <c r="G314" t="s">
        <v>22</v>
      </c>
      <c r="H314" t="s">
        <v>31</v>
      </c>
      <c r="I314">
        <v>2</v>
      </c>
      <c r="J314">
        <v>285.95</v>
      </c>
      <c r="K314">
        <v>20</v>
      </c>
      <c r="L314">
        <v>457.52</v>
      </c>
      <c r="M314">
        <f t="shared" si="4"/>
        <v>457.52</v>
      </c>
    </row>
    <row r="315" spans="1:13" x14ac:dyDescent="0.3">
      <c r="A315" t="s">
        <v>372</v>
      </c>
      <c r="B315" s="1">
        <v>45830</v>
      </c>
      <c r="C315" t="s">
        <v>69</v>
      </c>
      <c r="D315" t="s">
        <v>46</v>
      </c>
      <c r="E315" t="s">
        <v>29</v>
      </c>
      <c r="F315" t="s">
        <v>30</v>
      </c>
      <c r="G315" t="s">
        <v>25</v>
      </c>
      <c r="H315" t="s">
        <v>26</v>
      </c>
      <c r="I315">
        <v>3</v>
      </c>
      <c r="J315">
        <v>310.38</v>
      </c>
      <c r="K315">
        <v>15</v>
      </c>
      <c r="L315">
        <v>791.47</v>
      </c>
      <c r="M315">
        <f t="shared" si="4"/>
        <v>791.46899999999994</v>
      </c>
    </row>
    <row r="316" spans="1:13" x14ac:dyDescent="0.3">
      <c r="A316" t="s">
        <v>373</v>
      </c>
      <c r="B316" s="1">
        <v>45973</v>
      </c>
      <c r="C316" t="s">
        <v>28</v>
      </c>
      <c r="D316" t="s">
        <v>14</v>
      </c>
      <c r="E316" t="s">
        <v>52</v>
      </c>
      <c r="F316" t="s">
        <v>53</v>
      </c>
      <c r="G316" t="s">
        <v>37</v>
      </c>
      <c r="H316" t="s">
        <v>26</v>
      </c>
      <c r="I316">
        <v>15</v>
      </c>
      <c r="J316">
        <v>225.8</v>
      </c>
      <c r="K316">
        <v>20</v>
      </c>
      <c r="L316">
        <v>2709.6</v>
      </c>
      <c r="M316">
        <f t="shared" si="4"/>
        <v>2709.6000000000004</v>
      </c>
    </row>
    <row r="317" spans="1:13" x14ac:dyDescent="0.3">
      <c r="A317" t="s">
        <v>374</v>
      </c>
      <c r="B317" s="1">
        <v>45808</v>
      </c>
      <c r="C317" t="s">
        <v>42</v>
      </c>
      <c r="D317" t="s">
        <v>43</v>
      </c>
      <c r="E317" t="s">
        <v>47</v>
      </c>
      <c r="F317" t="s">
        <v>48</v>
      </c>
      <c r="G317" t="s">
        <v>37</v>
      </c>
      <c r="H317" t="s">
        <v>26</v>
      </c>
      <c r="I317">
        <v>12</v>
      </c>
      <c r="J317">
        <v>153.59</v>
      </c>
      <c r="K317">
        <v>15</v>
      </c>
      <c r="L317">
        <v>1566.62</v>
      </c>
      <c r="M317">
        <f t="shared" si="4"/>
        <v>1566.6179999999999</v>
      </c>
    </row>
    <row r="318" spans="1:13" x14ac:dyDescent="0.3">
      <c r="A318" t="s">
        <v>375</v>
      </c>
      <c r="B318" s="1">
        <v>45924</v>
      </c>
      <c r="C318" t="s">
        <v>89</v>
      </c>
      <c r="D318" t="s">
        <v>64</v>
      </c>
      <c r="E318" t="s">
        <v>21</v>
      </c>
      <c r="F318" t="s">
        <v>16</v>
      </c>
      <c r="G318" t="s">
        <v>17</v>
      </c>
      <c r="H318" t="s">
        <v>18</v>
      </c>
      <c r="I318">
        <v>3</v>
      </c>
      <c r="J318">
        <v>109.12</v>
      </c>
      <c r="K318">
        <v>5</v>
      </c>
      <c r="L318">
        <v>310.99</v>
      </c>
      <c r="M318">
        <f t="shared" si="4"/>
        <v>310.99200000000002</v>
      </c>
    </row>
    <row r="319" spans="1:13" x14ac:dyDescent="0.3">
      <c r="A319" t="s">
        <v>376</v>
      </c>
      <c r="B319" s="1">
        <v>45806</v>
      </c>
      <c r="C319" t="s">
        <v>81</v>
      </c>
      <c r="D319" t="s">
        <v>64</v>
      </c>
      <c r="E319" t="s">
        <v>60</v>
      </c>
      <c r="F319" t="s">
        <v>61</v>
      </c>
      <c r="G319" t="s">
        <v>22</v>
      </c>
      <c r="H319" t="s">
        <v>26</v>
      </c>
      <c r="I319">
        <v>24</v>
      </c>
      <c r="J319">
        <v>113.74</v>
      </c>
      <c r="K319">
        <v>10</v>
      </c>
      <c r="L319">
        <v>2456.7800000000002</v>
      </c>
      <c r="M319">
        <f t="shared" si="4"/>
        <v>2456.7839999999997</v>
      </c>
    </row>
    <row r="320" spans="1:13" x14ac:dyDescent="0.3">
      <c r="A320" t="s">
        <v>377</v>
      </c>
      <c r="B320" s="1">
        <v>45754</v>
      </c>
      <c r="C320" t="s">
        <v>55</v>
      </c>
      <c r="D320" t="s">
        <v>14</v>
      </c>
      <c r="E320" t="s">
        <v>52</v>
      </c>
      <c r="F320" t="s">
        <v>53</v>
      </c>
      <c r="G320" t="s">
        <v>25</v>
      </c>
      <c r="H320" t="s">
        <v>31</v>
      </c>
      <c r="I320">
        <v>20</v>
      </c>
      <c r="J320">
        <v>168.4</v>
      </c>
      <c r="K320">
        <v>15</v>
      </c>
      <c r="L320">
        <v>2862.8</v>
      </c>
      <c r="M320">
        <f t="shared" si="4"/>
        <v>2862.7999999999997</v>
      </c>
    </row>
    <row r="321" spans="1:13" x14ac:dyDescent="0.3">
      <c r="A321" t="s">
        <v>378</v>
      </c>
      <c r="B321" s="1">
        <v>45878</v>
      </c>
      <c r="C321" t="s">
        <v>71</v>
      </c>
      <c r="D321" t="s">
        <v>64</v>
      </c>
      <c r="E321" t="s">
        <v>15</v>
      </c>
      <c r="F321" t="s">
        <v>16</v>
      </c>
      <c r="G321" t="s">
        <v>22</v>
      </c>
      <c r="H321" t="s">
        <v>26</v>
      </c>
      <c r="I321">
        <v>6</v>
      </c>
      <c r="J321">
        <v>153.46</v>
      </c>
      <c r="K321">
        <v>15</v>
      </c>
      <c r="L321">
        <v>782.65</v>
      </c>
      <c r="M321">
        <f t="shared" si="4"/>
        <v>782.64599999999996</v>
      </c>
    </row>
    <row r="322" spans="1:13" x14ac:dyDescent="0.3">
      <c r="A322" t="s">
        <v>379</v>
      </c>
      <c r="B322" s="1">
        <v>45773</v>
      </c>
      <c r="C322" t="s">
        <v>71</v>
      </c>
      <c r="D322" t="s">
        <v>64</v>
      </c>
      <c r="E322" t="s">
        <v>15</v>
      </c>
      <c r="F322" t="s">
        <v>16</v>
      </c>
      <c r="G322" t="s">
        <v>37</v>
      </c>
      <c r="H322" t="s">
        <v>31</v>
      </c>
      <c r="I322">
        <v>8</v>
      </c>
      <c r="J322">
        <v>156.72999999999999</v>
      </c>
      <c r="K322">
        <v>20</v>
      </c>
      <c r="L322">
        <v>1003.07</v>
      </c>
      <c r="M322">
        <f t="shared" ref="M322:M385" si="5">I322*J322*(1-K322/100)</f>
        <v>1003.072</v>
      </c>
    </row>
    <row r="323" spans="1:13" x14ac:dyDescent="0.3">
      <c r="A323" t="s">
        <v>380</v>
      </c>
      <c r="B323" s="1">
        <v>45743</v>
      </c>
      <c r="C323" t="s">
        <v>42</v>
      </c>
      <c r="D323" t="s">
        <v>43</v>
      </c>
      <c r="E323" t="s">
        <v>21</v>
      </c>
      <c r="F323" t="s">
        <v>16</v>
      </c>
      <c r="G323" t="s">
        <v>22</v>
      </c>
      <c r="H323" t="s">
        <v>18</v>
      </c>
      <c r="I323">
        <v>29</v>
      </c>
      <c r="J323">
        <v>149.44999999999999</v>
      </c>
      <c r="K323">
        <v>20</v>
      </c>
      <c r="L323">
        <v>3467.24</v>
      </c>
      <c r="M323">
        <f t="shared" si="5"/>
        <v>3467.24</v>
      </c>
    </row>
    <row r="324" spans="1:13" x14ac:dyDescent="0.3">
      <c r="A324" t="s">
        <v>381</v>
      </c>
      <c r="B324" s="1">
        <v>45795</v>
      </c>
      <c r="C324" t="s">
        <v>104</v>
      </c>
      <c r="D324" t="s">
        <v>14</v>
      </c>
      <c r="E324" t="s">
        <v>56</v>
      </c>
      <c r="F324" t="s">
        <v>48</v>
      </c>
      <c r="G324" t="s">
        <v>25</v>
      </c>
      <c r="H324" t="s">
        <v>31</v>
      </c>
      <c r="I324">
        <v>28</v>
      </c>
      <c r="J324">
        <v>216.42</v>
      </c>
      <c r="K324">
        <v>20</v>
      </c>
      <c r="L324">
        <v>4847.8100000000004</v>
      </c>
      <c r="M324">
        <f t="shared" si="5"/>
        <v>4847.808</v>
      </c>
    </row>
    <row r="325" spans="1:13" x14ac:dyDescent="0.3">
      <c r="A325" t="s">
        <v>382</v>
      </c>
      <c r="B325" s="1">
        <v>45899</v>
      </c>
      <c r="C325" t="s">
        <v>13</v>
      </c>
      <c r="D325" t="s">
        <v>14</v>
      </c>
      <c r="E325" t="s">
        <v>66</v>
      </c>
      <c r="F325" t="s">
        <v>67</v>
      </c>
      <c r="G325" t="s">
        <v>37</v>
      </c>
      <c r="H325" t="s">
        <v>18</v>
      </c>
      <c r="I325">
        <v>6</v>
      </c>
      <c r="J325">
        <v>51.87</v>
      </c>
      <c r="K325">
        <v>20</v>
      </c>
      <c r="L325">
        <v>248.98</v>
      </c>
      <c r="M325">
        <f t="shared" si="5"/>
        <v>248.976</v>
      </c>
    </row>
    <row r="326" spans="1:13" x14ac:dyDescent="0.3">
      <c r="A326" t="s">
        <v>383</v>
      </c>
      <c r="B326" s="1">
        <v>45845</v>
      </c>
      <c r="C326" t="s">
        <v>69</v>
      </c>
      <c r="D326" t="s">
        <v>46</v>
      </c>
      <c r="E326" t="s">
        <v>29</v>
      </c>
      <c r="F326" t="s">
        <v>30</v>
      </c>
      <c r="G326" t="s">
        <v>17</v>
      </c>
      <c r="H326" t="s">
        <v>31</v>
      </c>
      <c r="I326">
        <v>6</v>
      </c>
      <c r="J326">
        <v>338.49</v>
      </c>
      <c r="K326">
        <v>15</v>
      </c>
      <c r="L326">
        <v>1726.3</v>
      </c>
      <c r="M326">
        <f t="shared" si="5"/>
        <v>1726.299</v>
      </c>
    </row>
    <row r="327" spans="1:13" x14ac:dyDescent="0.3">
      <c r="A327" t="s">
        <v>384</v>
      </c>
      <c r="B327" s="1">
        <v>45691</v>
      </c>
      <c r="C327" t="s">
        <v>33</v>
      </c>
      <c r="D327" t="s">
        <v>14</v>
      </c>
      <c r="E327" t="s">
        <v>29</v>
      </c>
      <c r="F327" t="s">
        <v>30</v>
      </c>
      <c r="G327" t="s">
        <v>37</v>
      </c>
      <c r="H327" t="s">
        <v>18</v>
      </c>
      <c r="I327">
        <v>22</v>
      </c>
      <c r="J327">
        <v>119.72</v>
      </c>
      <c r="K327">
        <v>15</v>
      </c>
      <c r="L327">
        <v>2238.7600000000002</v>
      </c>
      <c r="M327">
        <f t="shared" si="5"/>
        <v>2238.7640000000001</v>
      </c>
    </row>
    <row r="328" spans="1:13" x14ac:dyDescent="0.3">
      <c r="A328" t="s">
        <v>385</v>
      </c>
      <c r="B328" s="1">
        <v>45699</v>
      </c>
      <c r="C328" t="s">
        <v>71</v>
      </c>
      <c r="D328" t="s">
        <v>64</v>
      </c>
      <c r="E328" t="s">
        <v>52</v>
      </c>
      <c r="F328" t="s">
        <v>53</v>
      </c>
      <c r="G328" t="s">
        <v>25</v>
      </c>
      <c r="H328" t="s">
        <v>18</v>
      </c>
      <c r="I328">
        <v>10</v>
      </c>
      <c r="J328">
        <v>153.41999999999999</v>
      </c>
      <c r="K328">
        <v>20</v>
      </c>
      <c r="L328">
        <v>1227.3599999999999</v>
      </c>
      <c r="M328">
        <f t="shared" si="5"/>
        <v>1227.3599999999999</v>
      </c>
    </row>
    <row r="329" spans="1:13" x14ac:dyDescent="0.3">
      <c r="A329" t="s">
        <v>386</v>
      </c>
      <c r="B329" s="1">
        <v>45786</v>
      </c>
      <c r="C329" t="s">
        <v>104</v>
      </c>
      <c r="D329" t="s">
        <v>14</v>
      </c>
      <c r="E329" t="s">
        <v>66</v>
      </c>
      <c r="F329" t="s">
        <v>67</v>
      </c>
      <c r="G329" t="s">
        <v>17</v>
      </c>
      <c r="H329" t="s">
        <v>26</v>
      </c>
      <c r="I329">
        <v>10</v>
      </c>
      <c r="J329">
        <v>202.49</v>
      </c>
      <c r="K329">
        <v>0</v>
      </c>
      <c r="L329">
        <v>2024.9</v>
      </c>
      <c r="M329">
        <f t="shared" si="5"/>
        <v>2024.9</v>
      </c>
    </row>
    <row r="330" spans="1:13" x14ac:dyDescent="0.3">
      <c r="A330" t="s">
        <v>387</v>
      </c>
      <c r="B330" s="1">
        <v>45889</v>
      </c>
      <c r="C330" t="s">
        <v>81</v>
      </c>
      <c r="D330" t="s">
        <v>64</v>
      </c>
      <c r="E330" t="s">
        <v>52</v>
      </c>
      <c r="F330" t="s">
        <v>53</v>
      </c>
      <c r="G330" t="s">
        <v>37</v>
      </c>
      <c r="H330" t="s">
        <v>26</v>
      </c>
      <c r="I330">
        <v>2</v>
      </c>
      <c r="J330">
        <v>128.18</v>
      </c>
      <c r="K330">
        <v>5</v>
      </c>
      <c r="L330">
        <v>243.54</v>
      </c>
      <c r="M330">
        <f t="shared" si="5"/>
        <v>243.542</v>
      </c>
    </row>
    <row r="331" spans="1:13" x14ac:dyDescent="0.3">
      <c r="A331" t="s">
        <v>388</v>
      </c>
      <c r="B331" s="1">
        <v>45736</v>
      </c>
      <c r="C331" t="s">
        <v>104</v>
      </c>
      <c r="D331" t="s">
        <v>14</v>
      </c>
      <c r="E331" t="s">
        <v>52</v>
      </c>
      <c r="F331" t="s">
        <v>53</v>
      </c>
      <c r="G331" t="s">
        <v>22</v>
      </c>
      <c r="H331" t="s">
        <v>18</v>
      </c>
      <c r="I331">
        <v>3</v>
      </c>
      <c r="J331">
        <v>215</v>
      </c>
      <c r="K331">
        <v>0</v>
      </c>
      <c r="L331">
        <v>645</v>
      </c>
      <c r="M331">
        <f t="shared" si="5"/>
        <v>645</v>
      </c>
    </row>
    <row r="332" spans="1:13" x14ac:dyDescent="0.3">
      <c r="A332" t="s">
        <v>389</v>
      </c>
      <c r="B332" s="1">
        <v>45744</v>
      </c>
      <c r="C332" t="s">
        <v>63</v>
      </c>
      <c r="D332" t="s">
        <v>64</v>
      </c>
      <c r="E332" t="s">
        <v>52</v>
      </c>
      <c r="F332" t="s">
        <v>53</v>
      </c>
      <c r="G332" t="s">
        <v>22</v>
      </c>
      <c r="H332" t="s">
        <v>26</v>
      </c>
      <c r="I332">
        <v>20</v>
      </c>
      <c r="J332">
        <v>257.92</v>
      </c>
      <c r="K332">
        <v>15</v>
      </c>
      <c r="L332">
        <v>4384.6400000000003</v>
      </c>
      <c r="M332">
        <f t="shared" si="5"/>
        <v>4384.6400000000003</v>
      </c>
    </row>
    <row r="333" spans="1:13" x14ac:dyDescent="0.3">
      <c r="A333" t="s">
        <v>390</v>
      </c>
      <c r="B333" s="1">
        <v>45809</v>
      </c>
      <c r="C333" t="s">
        <v>104</v>
      </c>
      <c r="D333" t="s">
        <v>14</v>
      </c>
      <c r="E333" t="s">
        <v>60</v>
      </c>
      <c r="F333" t="s">
        <v>61</v>
      </c>
      <c r="G333" t="s">
        <v>17</v>
      </c>
      <c r="H333" t="s">
        <v>26</v>
      </c>
      <c r="I333">
        <v>24</v>
      </c>
      <c r="J333">
        <v>229.52</v>
      </c>
      <c r="K333">
        <v>20</v>
      </c>
      <c r="L333">
        <v>4406.78</v>
      </c>
      <c r="M333">
        <f t="shared" si="5"/>
        <v>4406.7840000000006</v>
      </c>
    </row>
    <row r="334" spans="1:13" x14ac:dyDescent="0.3">
      <c r="A334" t="s">
        <v>391</v>
      </c>
      <c r="B334" s="1">
        <v>45796</v>
      </c>
      <c r="C334" t="s">
        <v>63</v>
      </c>
      <c r="D334" t="s">
        <v>64</v>
      </c>
      <c r="E334" t="s">
        <v>29</v>
      </c>
      <c r="F334" t="s">
        <v>30</v>
      </c>
      <c r="G334" t="s">
        <v>37</v>
      </c>
      <c r="H334" t="s">
        <v>26</v>
      </c>
      <c r="I334">
        <v>9</v>
      </c>
      <c r="J334">
        <v>271.77999999999997</v>
      </c>
      <c r="K334">
        <v>15</v>
      </c>
      <c r="L334">
        <v>2079.12</v>
      </c>
      <c r="M334">
        <f t="shared" si="5"/>
        <v>2079.1169999999997</v>
      </c>
    </row>
    <row r="335" spans="1:13" x14ac:dyDescent="0.3">
      <c r="A335" t="s">
        <v>392</v>
      </c>
      <c r="B335" s="1">
        <v>45918</v>
      </c>
      <c r="C335" t="s">
        <v>71</v>
      </c>
      <c r="D335" t="s">
        <v>64</v>
      </c>
      <c r="E335" t="s">
        <v>21</v>
      </c>
      <c r="F335" t="s">
        <v>16</v>
      </c>
      <c r="G335" t="s">
        <v>22</v>
      </c>
      <c r="H335" t="s">
        <v>18</v>
      </c>
      <c r="I335">
        <v>29</v>
      </c>
      <c r="J335">
        <v>145.65</v>
      </c>
      <c r="K335">
        <v>5</v>
      </c>
      <c r="L335">
        <v>4012.66</v>
      </c>
      <c r="M335">
        <f t="shared" si="5"/>
        <v>4012.6575000000003</v>
      </c>
    </row>
    <row r="336" spans="1:13" x14ac:dyDescent="0.3">
      <c r="A336" t="s">
        <v>393</v>
      </c>
      <c r="B336" s="1">
        <v>45994</v>
      </c>
      <c r="C336" t="s">
        <v>104</v>
      </c>
      <c r="D336" t="s">
        <v>14</v>
      </c>
      <c r="E336" t="s">
        <v>47</v>
      </c>
      <c r="F336" t="s">
        <v>48</v>
      </c>
      <c r="G336" t="s">
        <v>37</v>
      </c>
      <c r="H336" t="s">
        <v>31</v>
      </c>
      <c r="I336">
        <v>7</v>
      </c>
      <c r="J336">
        <v>201.64</v>
      </c>
      <c r="K336">
        <v>15</v>
      </c>
      <c r="L336">
        <v>1199.76</v>
      </c>
      <c r="M336">
        <f t="shared" si="5"/>
        <v>1199.758</v>
      </c>
    </row>
    <row r="337" spans="1:13" x14ac:dyDescent="0.3">
      <c r="A337" t="s">
        <v>394</v>
      </c>
      <c r="B337" s="1">
        <v>45706</v>
      </c>
      <c r="C337" t="s">
        <v>42</v>
      </c>
      <c r="D337" t="s">
        <v>43</v>
      </c>
      <c r="E337" t="s">
        <v>60</v>
      </c>
      <c r="F337" t="s">
        <v>61</v>
      </c>
      <c r="G337" t="s">
        <v>37</v>
      </c>
      <c r="H337" t="s">
        <v>26</v>
      </c>
      <c r="I337">
        <v>10</v>
      </c>
      <c r="J337">
        <v>146.46</v>
      </c>
      <c r="K337">
        <v>5</v>
      </c>
      <c r="L337">
        <v>1391.37</v>
      </c>
      <c r="M337">
        <f t="shared" si="5"/>
        <v>1391.3700000000001</v>
      </c>
    </row>
    <row r="338" spans="1:13" x14ac:dyDescent="0.3">
      <c r="A338" t="s">
        <v>395</v>
      </c>
      <c r="B338" s="1">
        <v>45923</v>
      </c>
      <c r="C338" t="s">
        <v>71</v>
      </c>
      <c r="D338" t="s">
        <v>64</v>
      </c>
      <c r="E338" t="s">
        <v>15</v>
      </c>
      <c r="F338" t="s">
        <v>16</v>
      </c>
      <c r="G338" t="s">
        <v>25</v>
      </c>
      <c r="H338" t="s">
        <v>26</v>
      </c>
      <c r="I338">
        <v>10</v>
      </c>
      <c r="J338">
        <v>163.79</v>
      </c>
      <c r="K338">
        <v>5</v>
      </c>
      <c r="L338">
        <v>1556</v>
      </c>
      <c r="M338">
        <f t="shared" si="5"/>
        <v>1556.0049999999999</v>
      </c>
    </row>
    <row r="339" spans="1:13" x14ac:dyDescent="0.3">
      <c r="A339" t="s">
        <v>396</v>
      </c>
      <c r="B339" s="1">
        <v>45838</v>
      </c>
      <c r="C339" t="s">
        <v>104</v>
      </c>
      <c r="D339" t="s">
        <v>14</v>
      </c>
      <c r="E339" t="s">
        <v>15</v>
      </c>
      <c r="F339" t="s">
        <v>16</v>
      </c>
      <c r="G339" t="s">
        <v>37</v>
      </c>
      <c r="H339" t="s">
        <v>18</v>
      </c>
      <c r="I339">
        <v>9</v>
      </c>
      <c r="J339">
        <v>203.01</v>
      </c>
      <c r="K339">
        <v>20</v>
      </c>
      <c r="L339">
        <v>1461.67</v>
      </c>
      <c r="M339">
        <f t="shared" si="5"/>
        <v>1461.672</v>
      </c>
    </row>
    <row r="340" spans="1:13" x14ac:dyDescent="0.3">
      <c r="A340" t="s">
        <v>397</v>
      </c>
      <c r="B340" s="1">
        <v>45840</v>
      </c>
      <c r="C340" t="s">
        <v>79</v>
      </c>
      <c r="D340" t="s">
        <v>43</v>
      </c>
      <c r="E340" t="s">
        <v>52</v>
      </c>
      <c r="F340" t="s">
        <v>53</v>
      </c>
      <c r="G340" t="s">
        <v>25</v>
      </c>
      <c r="H340" t="s">
        <v>18</v>
      </c>
      <c r="I340">
        <v>11</v>
      </c>
      <c r="J340">
        <v>232.24</v>
      </c>
      <c r="K340">
        <v>5</v>
      </c>
      <c r="L340">
        <v>2426.91</v>
      </c>
      <c r="M340">
        <f t="shared" si="5"/>
        <v>2426.9080000000004</v>
      </c>
    </row>
    <row r="341" spans="1:13" x14ac:dyDescent="0.3">
      <c r="A341" t="s">
        <v>398</v>
      </c>
      <c r="B341" s="1">
        <v>45771</v>
      </c>
      <c r="C341" t="s">
        <v>55</v>
      </c>
      <c r="D341" t="s">
        <v>14</v>
      </c>
      <c r="E341" t="s">
        <v>73</v>
      </c>
      <c r="F341" t="s">
        <v>74</v>
      </c>
      <c r="G341" t="s">
        <v>37</v>
      </c>
      <c r="H341" t="s">
        <v>18</v>
      </c>
      <c r="I341">
        <v>15</v>
      </c>
      <c r="J341">
        <v>177.82</v>
      </c>
      <c r="K341">
        <v>0</v>
      </c>
      <c r="L341">
        <v>2667.3</v>
      </c>
      <c r="M341">
        <f t="shared" si="5"/>
        <v>2667.2999999999997</v>
      </c>
    </row>
    <row r="342" spans="1:13" x14ac:dyDescent="0.3">
      <c r="A342" t="s">
        <v>399</v>
      </c>
      <c r="B342" s="1">
        <v>45779</v>
      </c>
      <c r="C342" t="s">
        <v>86</v>
      </c>
      <c r="D342" t="s">
        <v>14</v>
      </c>
      <c r="E342" t="s">
        <v>15</v>
      </c>
      <c r="F342" t="s">
        <v>16</v>
      </c>
      <c r="G342" t="s">
        <v>25</v>
      </c>
      <c r="H342" t="s">
        <v>26</v>
      </c>
      <c r="I342">
        <v>13</v>
      </c>
      <c r="J342">
        <v>70.459999999999994</v>
      </c>
      <c r="K342">
        <v>0</v>
      </c>
      <c r="L342">
        <v>915.98</v>
      </c>
      <c r="M342">
        <f t="shared" si="5"/>
        <v>915.9799999999999</v>
      </c>
    </row>
    <row r="343" spans="1:13" x14ac:dyDescent="0.3">
      <c r="A343" t="s">
        <v>400</v>
      </c>
      <c r="B343" s="1">
        <v>45806</v>
      </c>
      <c r="C343" t="s">
        <v>79</v>
      </c>
      <c r="D343" t="s">
        <v>43</v>
      </c>
      <c r="E343" t="s">
        <v>56</v>
      </c>
      <c r="F343" t="s">
        <v>48</v>
      </c>
      <c r="G343" t="s">
        <v>22</v>
      </c>
      <c r="H343" t="s">
        <v>26</v>
      </c>
      <c r="I343">
        <v>13</v>
      </c>
      <c r="J343">
        <v>260.11</v>
      </c>
      <c r="K343">
        <v>5</v>
      </c>
      <c r="L343">
        <v>3212.36</v>
      </c>
      <c r="M343">
        <f t="shared" si="5"/>
        <v>3212.3585000000003</v>
      </c>
    </row>
    <row r="344" spans="1:13" x14ac:dyDescent="0.3">
      <c r="A344" t="s">
        <v>401</v>
      </c>
      <c r="B344" s="1">
        <v>45881</v>
      </c>
      <c r="C344" t="s">
        <v>69</v>
      </c>
      <c r="D344" t="s">
        <v>46</v>
      </c>
      <c r="E344" t="s">
        <v>29</v>
      </c>
      <c r="F344" t="s">
        <v>30</v>
      </c>
      <c r="G344" t="s">
        <v>25</v>
      </c>
      <c r="H344" t="s">
        <v>31</v>
      </c>
      <c r="I344">
        <v>9</v>
      </c>
      <c r="J344">
        <v>313.58</v>
      </c>
      <c r="K344">
        <v>15</v>
      </c>
      <c r="L344">
        <v>2398.89</v>
      </c>
      <c r="M344">
        <f t="shared" si="5"/>
        <v>2398.8869999999997</v>
      </c>
    </row>
    <row r="345" spans="1:13" x14ac:dyDescent="0.3">
      <c r="A345" t="s">
        <v>402</v>
      </c>
      <c r="B345" s="1">
        <v>45926</v>
      </c>
      <c r="C345" t="s">
        <v>33</v>
      </c>
      <c r="D345" t="s">
        <v>14</v>
      </c>
      <c r="E345" t="s">
        <v>47</v>
      </c>
      <c r="F345" t="s">
        <v>48</v>
      </c>
      <c r="G345" t="s">
        <v>25</v>
      </c>
      <c r="H345" t="s">
        <v>18</v>
      </c>
      <c r="I345">
        <v>26</v>
      </c>
      <c r="J345">
        <v>130.5</v>
      </c>
      <c r="K345">
        <v>20</v>
      </c>
      <c r="L345">
        <v>2714.4</v>
      </c>
      <c r="M345">
        <f t="shared" si="5"/>
        <v>2714.4</v>
      </c>
    </row>
    <row r="346" spans="1:13" x14ac:dyDescent="0.3">
      <c r="A346" t="s">
        <v>403</v>
      </c>
      <c r="B346" s="1">
        <v>45752</v>
      </c>
      <c r="C346" t="s">
        <v>81</v>
      </c>
      <c r="D346" t="s">
        <v>64</v>
      </c>
      <c r="E346" t="s">
        <v>39</v>
      </c>
      <c r="F346" t="s">
        <v>39</v>
      </c>
      <c r="G346" t="s">
        <v>17</v>
      </c>
      <c r="H346" t="s">
        <v>26</v>
      </c>
      <c r="I346">
        <v>16</v>
      </c>
      <c r="J346">
        <v>110.2</v>
      </c>
      <c r="K346">
        <v>5</v>
      </c>
      <c r="L346">
        <v>1675.04</v>
      </c>
      <c r="M346">
        <f t="shared" si="5"/>
        <v>1675.04</v>
      </c>
    </row>
    <row r="347" spans="1:13" x14ac:dyDescent="0.3">
      <c r="A347" t="s">
        <v>404</v>
      </c>
      <c r="B347" s="1">
        <v>46010</v>
      </c>
      <c r="C347" t="s">
        <v>42</v>
      </c>
      <c r="D347" t="s">
        <v>43</v>
      </c>
      <c r="E347" t="s">
        <v>21</v>
      </c>
      <c r="F347" t="s">
        <v>16</v>
      </c>
      <c r="G347" t="s">
        <v>22</v>
      </c>
      <c r="H347" t="s">
        <v>26</v>
      </c>
      <c r="I347">
        <v>23</v>
      </c>
      <c r="J347">
        <v>151.27000000000001</v>
      </c>
      <c r="K347">
        <v>20</v>
      </c>
      <c r="L347">
        <v>2783.37</v>
      </c>
      <c r="M347">
        <f t="shared" si="5"/>
        <v>2783.3680000000004</v>
      </c>
    </row>
    <row r="348" spans="1:13" x14ac:dyDescent="0.3">
      <c r="A348" t="s">
        <v>405</v>
      </c>
      <c r="B348" s="1">
        <v>45938</v>
      </c>
      <c r="C348" t="s">
        <v>24</v>
      </c>
      <c r="D348" t="s">
        <v>14</v>
      </c>
      <c r="E348" t="s">
        <v>21</v>
      </c>
      <c r="F348" t="s">
        <v>16</v>
      </c>
      <c r="G348" t="s">
        <v>22</v>
      </c>
      <c r="H348" t="s">
        <v>31</v>
      </c>
      <c r="I348">
        <v>20</v>
      </c>
      <c r="J348">
        <v>60.47</v>
      </c>
      <c r="K348">
        <v>15</v>
      </c>
      <c r="L348">
        <v>1027.99</v>
      </c>
      <c r="M348">
        <f t="shared" si="5"/>
        <v>1027.99</v>
      </c>
    </row>
    <row r="349" spans="1:13" x14ac:dyDescent="0.3">
      <c r="A349" t="s">
        <v>406</v>
      </c>
      <c r="B349" s="1">
        <v>46021</v>
      </c>
      <c r="C349" t="s">
        <v>79</v>
      </c>
      <c r="D349" t="s">
        <v>43</v>
      </c>
      <c r="E349" t="s">
        <v>29</v>
      </c>
      <c r="F349" t="s">
        <v>30</v>
      </c>
      <c r="G349" t="s">
        <v>22</v>
      </c>
      <c r="H349" t="s">
        <v>31</v>
      </c>
      <c r="I349">
        <v>27</v>
      </c>
      <c r="J349">
        <v>216.45</v>
      </c>
      <c r="K349">
        <v>0</v>
      </c>
      <c r="L349">
        <v>5844.15</v>
      </c>
      <c r="M349">
        <f t="shared" si="5"/>
        <v>5844.15</v>
      </c>
    </row>
    <row r="350" spans="1:13" x14ac:dyDescent="0.3">
      <c r="A350" t="s">
        <v>407</v>
      </c>
      <c r="B350" s="1">
        <v>45667</v>
      </c>
      <c r="C350" t="s">
        <v>104</v>
      </c>
      <c r="D350" t="s">
        <v>14</v>
      </c>
      <c r="E350" t="s">
        <v>21</v>
      </c>
      <c r="F350" t="s">
        <v>16</v>
      </c>
      <c r="G350" t="s">
        <v>17</v>
      </c>
      <c r="H350" t="s">
        <v>18</v>
      </c>
      <c r="I350">
        <v>11</v>
      </c>
      <c r="J350">
        <v>226.93</v>
      </c>
      <c r="K350">
        <v>0</v>
      </c>
      <c r="L350">
        <v>2496.23</v>
      </c>
      <c r="M350">
        <f t="shared" si="5"/>
        <v>2496.23</v>
      </c>
    </row>
    <row r="351" spans="1:13" x14ac:dyDescent="0.3">
      <c r="A351" t="s">
        <v>408</v>
      </c>
      <c r="B351" s="1">
        <v>45743</v>
      </c>
      <c r="C351" t="s">
        <v>104</v>
      </c>
      <c r="D351" t="s">
        <v>14</v>
      </c>
      <c r="E351" t="s">
        <v>56</v>
      </c>
      <c r="F351" t="s">
        <v>48</v>
      </c>
      <c r="G351" t="s">
        <v>22</v>
      </c>
      <c r="H351" t="s">
        <v>18</v>
      </c>
      <c r="I351">
        <v>3</v>
      </c>
      <c r="J351">
        <v>213.64</v>
      </c>
      <c r="K351">
        <v>20</v>
      </c>
      <c r="L351">
        <v>512.74</v>
      </c>
      <c r="M351">
        <f t="shared" si="5"/>
        <v>512.73599999999999</v>
      </c>
    </row>
    <row r="352" spans="1:13" x14ac:dyDescent="0.3">
      <c r="A352" t="s">
        <v>409</v>
      </c>
      <c r="B352" s="1">
        <v>45677</v>
      </c>
      <c r="C352" t="s">
        <v>20</v>
      </c>
      <c r="D352" t="s">
        <v>14</v>
      </c>
      <c r="E352" t="s">
        <v>66</v>
      </c>
      <c r="F352" t="s">
        <v>67</v>
      </c>
      <c r="G352" t="s">
        <v>25</v>
      </c>
      <c r="H352" t="s">
        <v>31</v>
      </c>
      <c r="I352">
        <v>13</v>
      </c>
      <c r="J352">
        <v>152.13</v>
      </c>
      <c r="K352">
        <v>0</v>
      </c>
      <c r="L352">
        <v>1977.69</v>
      </c>
      <c r="M352">
        <f t="shared" si="5"/>
        <v>1977.69</v>
      </c>
    </row>
    <row r="353" spans="1:13" x14ac:dyDescent="0.3">
      <c r="A353" t="s">
        <v>410</v>
      </c>
      <c r="B353" s="1">
        <v>45843</v>
      </c>
      <c r="C353" t="s">
        <v>33</v>
      </c>
      <c r="D353" t="s">
        <v>14</v>
      </c>
      <c r="E353" t="s">
        <v>21</v>
      </c>
      <c r="F353" t="s">
        <v>16</v>
      </c>
      <c r="G353" t="s">
        <v>22</v>
      </c>
      <c r="H353" t="s">
        <v>18</v>
      </c>
      <c r="I353">
        <v>7</v>
      </c>
      <c r="J353">
        <v>129.04</v>
      </c>
      <c r="K353">
        <v>20</v>
      </c>
      <c r="L353">
        <v>722.62</v>
      </c>
      <c r="M353">
        <f t="shared" si="5"/>
        <v>722.62400000000002</v>
      </c>
    </row>
    <row r="354" spans="1:13" x14ac:dyDescent="0.3">
      <c r="A354" t="s">
        <v>411</v>
      </c>
      <c r="B354" s="1">
        <v>45950</v>
      </c>
      <c r="C354" t="s">
        <v>71</v>
      </c>
      <c r="D354" t="s">
        <v>64</v>
      </c>
      <c r="E354" t="s">
        <v>15</v>
      </c>
      <c r="F354" t="s">
        <v>16</v>
      </c>
      <c r="G354" t="s">
        <v>37</v>
      </c>
      <c r="H354" t="s">
        <v>31</v>
      </c>
      <c r="I354">
        <v>25</v>
      </c>
      <c r="J354">
        <v>141.52000000000001</v>
      </c>
      <c r="K354">
        <v>5</v>
      </c>
      <c r="L354">
        <v>3361.1</v>
      </c>
      <c r="M354">
        <f t="shared" si="5"/>
        <v>3361.1000000000004</v>
      </c>
    </row>
    <row r="355" spans="1:13" x14ac:dyDescent="0.3">
      <c r="A355" t="s">
        <v>412</v>
      </c>
      <c r="B355" s="1">
        <v>45845</v>
      </c>
      <c r="C355" t="s">
        <v>86</v>
      </c>
      <c r="D355" t="s">
        <v>14</v>
      </c>
      <c r="E355" t="s">
        <v>29</v>
      </c>
      <c r="F355" t="s">
        <v>30</v>
      </c>
      <c r="G355" t="s">
        <v>25</v>
      </c>
      <c r="H355" t="s">
        <v>18</v>
      </c>
      <c r="I355">
        <v>22</v>
      </c>
      <c r="J355">
        <v>67.94</v>
      </c>
      <c r="K355">
        <v>15</v>
      </c>
      <c r="L355">
        <v>1270.48</v>
      </c>
      <c r="M355">
        <f t="shared" si="5"/>
        <v>1270.4779999999998</v>
      </c>
    </row>
    <row r="356" spans="1:13" x14ac:dyDescent="0.3">
      <c r="A356" t="s">
        <v>413</v>
      </c>
      <c r="B356" s="1">
        <v>45873</v>
      </c>
      <c r="C356" t="s">
        <v>55</v>
      </c>
      <c r="D356" t="s">
        <v>14</v>
      </c>
      <c r="E356" t="s">
        <v>15</v>
      </c>
      <c r="F356" t="s">
        <v>16</v>
      </c>
      <c r="G356" t="s">
        <v>17</v>
      </c>
      <c r="H356" t="s">
        <v>18</v>
      </c>
      <c r="I356">
        <v>8</v>
      </c>
      <c r="J356">
        <v>179.32</v>
      </c>
      <c r="K356">
        <v>10</v>
      </c>
      <c r="L356">
        <v>1291.0999999999999</v>
      </c>
      <c r="M356">
        <f t="shared" si="5"/>
        <v>1291.104</v>
      </c>
    </row>
    <row r="357" spans="1:13" x14ac:dyDescent="0.3">
      <c r="A357" t="s">
        <v>414</v>
      </c>
      <c r="B357" s="1">
        <v>45816</v>
      </c>
      <c r="C357" t="s">
        <v>104</v>
      </c>
      <c r="D357" t="s">
        <v>14</v>
      </c>
      <c r="E357" t="s">
        <v>66</v>
      </c>
      <c r="F357" t="s">
        <v>67</v>
      </c>
      <c r="G357" t="s">
        <v>22</v>
      </c>
      <c r="H357" t="s">
        <v>31</v>
      </c>
      <c r="I357">
        <v>25</v>
      </c>
      <c r="J357">
        <v>227.76</v>
      </c>
      <c r="K357">
        <v>5</v>
      </c>
      <c r="L357">
        <v>5409.3</v>
      </c>
      <c r="M357">
        <f t="shared" si="5"/>
        <v>5409.3</v>
      </c>
    </row>
    <row r="358" spans="1:13" x14ac:dyDescent="0.3">
      <c r="A358" t="s">
        <v>415</v>
      </c>
      <c r="B358" s="1">
        <v>45733</v>
      </c>
      <c r="C358" t="s">
        <v>28</v>
      </c>
      <c r="D358" t="s">
        <v>14</v>
      </c>
      <c r="E358" t="s">
        <v>52</v>
      </c>
      <c r="F358" t="s">
        <v>53</v>
      </c>
      <c r="G358" t="s">
        <v>22</v>
      </c>
      <c r="H358" t="s">
        <v>26</v>
      </c>
      <c r="I358">
        <v>15</v>
      </c>
      <c r="J358">
        <v>195.26</v>
      </c>
      <c r="K358">
        <v>20</v>
      </c>
      <c r="L358">
        <v>2343.12</v>
      </c>
      <c r="M358">
        <f t="shared" si="5"/>
        <v>2343.12</v>
      </c>
    </row>
    <row r="359" spans="1:13" x14ac:dyDescent="0.3">
      <c r="A359" t="s">
        <v>416</v>
      </c>
      <c r="B359" s="1">
        <v>45885</v>
      </c>
      <c r="C359" t="s">
        <v>45</v>
      </c>
      <c r="D359" t="s">
        <v>46</v>
      </c>
      <c r="E359" t="s">
        <v>66</v>
      </c>
      <c r="F359" t="s">
        <v>67</v>
      </c>
      <c r="G359" t="s">
        <v>25</v>
      </c>
      <c r="H359" t="s">
        <v>26</v>
      </c>
      <c r="I359">
        <v>5</v>
      </c>
      <c r="J359">
        <v>291</v>
      </c>
      <c r="K359">
        <v>20</v>
      </c>
      <c r="L359">
        <v>1164</v>
      </c>
      <c r="M359">
        <f t="shared" si="5"/>
        <v>1164</v>
      </c>
    </row>
    <row r="360" spans="1:13" x14ac:dyDescent="0.3">
      <c r="A360" t="s">
        <v>417</v>
      </c>
      <c r="B360" s="1">
        <v>45770</v>
      </c>
      <c r="C360" t="s">
        <v>45</v>
      </c>
      <c r="D360" t="s">
        <v>46</v>
      </c>
      <c r="E360" t="s">
        <v>56</v>
      </c>
      <c r="F360" t="s">
        <v>48</v>
      </c>
      <c r="G360" t="s">
        <v>17</v>
      </c>
      <c r="H360" t="s">
        <v>18</v>
      </c>
      <c r="I360">
        <v>2</v>
      </c>
      <c r="J360">
        <v>266.14</v>
      </c>
      <c r="K360">
        <v>15</v>
      </c>
      <c r="L360">
        <v>452.44</v>
      </c>
      <c r="M360">
        <f t="shared" si="5"/>
        <v>452.43799999999999</v>
      </c>
    </row>
    <row r="361" spans="1:13" x14ac:dyDescent="0.3">
      <c r="A361" t="s">
        <v>418</v>
      </c>
      <c r="B361" s="1">
        <v>45818</v>
      </c>
      <c r="C361" t="s">
        <v>33</v>
      </c>
      <c r="D361" t="s">
        <v>14</v>
      </c>
      <c r="E361" t="s">
        <v>52</v>
      </c>
      <c r="F361" t="s">
        <v>53</v>
      </c>
      <c r="G361" t="s">
        <v>22</v>
      </c>
      <c r="H361" t="s">
        <v>18</v>
      </c>
      <c r="I361">
        <v>12</v>
      </c>
      <c r="J361">
        <v>125.61</v>
      </c>
      <c r="K361">
        <v>20</v>
      </c>
      <c r="L361">
        <v>1205.8599999999999</v>
      </c>
      <c r="M361">
        <f t="shared" si="5"/>
        <v>1205.856</v>
      </c>
    </row>
    <row r="362" spans="1:13" x14ac:dyDescent="0.3">
      <c r="A362" t="s">
        <v>419</v>
      </c>
      <c r="B362" s="1">
        <v>45732</v>
      </c>
      <c r="C362" t="s">
        <v>63</v>
      </c>
      <c r="D362" t="s">
        <v>64</v>
      </c>
      <c r="E362" t="s">
        <v>47</v>
      </c>
      <c r="F362" t="s">
        <v>48</v>
      </c>
      <c r="G362" t="s">
        <v>37</v>
      </c>
      <c r="H362" t="s">
        <v>18</v>
      </c>
      <c r="I362">
        <v>28</v>
      </c>
      <c r="J362">
        <v>290.41000000000003</v>
      </c>
      <c r="K362">
        <v>15</v>
      </c>
      <c r="L362">
        <v>6911.76</v>
      </c>
      <c r="M362">
        <f t="shared" si="5"/>
        <v>6911.7579999999998</v>
      </c>
    </row>
    <row r="363" spans="1:13" x14ac:dyDescent="0.3">
      <c r="A363" t="s">
        <v>420</v>
      </c>
      <c r="B363" s="1">
        <v>45707</v>
      </c>
      <c r="C363" t="s">
        <v>13</v>
      </c>
      <c r="D363" t="s">
        <v>14</v>
      </c>
      <c r="E363" t="s">
        <v>73</v>
      </c>
      <c r="F363" t="s">
        <v>74</v>
      </c>
      <c r="G363" t="s">
        <v>25</v>
      </c>
      <c r="H363" t="s">
        <v>26</v>
      </c>
      <c r="I363">
        <v>26</v>
      </c>
      <c r="J363">
        <v>55.72</v>
      </c>
      <c r="K363">
        <v>5</v>
      </c>
      <c r="L363">
        <v>1376.28</v>
      </c>
      <c r="M363">
        <f t="shared" si="5"/>
        <v>1376.2839999999999</v>
      </c>
    </row>
    <row r="364" spans="1:13" x14ac:dyDescent="0.3">
      <c r="A364" t="s">
        <v>421</v>
      </c>
      <c r="B364" s="1">
        <v>46022</v>
      </c>
      <c r="C364" t="s">
        <v>89</v>
      </c>
      <c r="D364" t="s">
        <v>64</v>
      </c>
      <c r="E364" t="s">
        <v>34</v>
      </c>
      <c r="F364" t="s">
        <v>35</v>
      </c>
      <c r="G364" t="s">
        <v>17</v>
      </c>
      <c r="H364" t="s">
        <v>31</v>
      </c>
      <c r="I364">
        <v>23</v>
      </c>
      <c r="J364">
        <v>105.01</v>
      </c>
      <c r="K364">
        <v>0</v>
      </c>
      <c r="L364">
        <v>2415.23</v>
      </c>
      <c r="M364">
        <f t="shared" si="5"/>
        <v>2415.23</v>
      </c>
    </row>
    <row r="365" spans="1:13" x14ac:dyDescent="0.3">
      <c r="A365" t="s">
        <v>422</v>
      </c>
      <c r="B365" s="1">
        <v>45726</v>
      </c>
      <c r="C365" t="s">
        <v>89</v>
      </c>
      <c r="D365" t="s">
        <v>64</v>
      </c>
      <c r="E365" t="s">
        <v>29</v>
      </c>
      <c r="F365" t="s">
        <v>30</v>
      </c>
      <c r="G365" t="s">
        <v>22</v>
      </c>
      <c r="H365" t="s">
        <v>31</v>
      </c>
      <c r="I365">
        <v>4</v>
      </c>
      <c r="J365">
        <v>108.45</v>
      </c>
      <c r="K365">
        <v>10</v>
      </c>
      <c r="L365">
        <v>390.42</v>
      </c>
      <c r="M365">
        <f t="shared" si="5"/>
        <v>390.42</v>
      </c>
    </row>
    <row r="366" spans="1:13" x14ac:dyDescent="0.3">
      <c r="A366" t="s">
        <v>423</v>
      </c>
      <c r="B366" s="1">
        <v>46013</v>
      </c>
      <c r="C366" t="s">
        <v>69</v>
      </c>
      <c r="D366" t="s">
        <v>46</v>
      </c>
      <c r="E366" t="s">
        <v>29</v>
      </c>
      <c r="F366" t="s">
        <v>30</v>
      </c>
      <c r="G366" t="s">
        <v>37</v>
      </c>
      <c r="H366" t="s">
        <v>26</v>
      </c>
      <c r="I366">
        <v>22</v>
      </c>
      <c r="J366">
        <v>307.41000000000003</v>
      </c>
      <c r="K366">
        <v>20</v>
      </c>
      <c r="L366">
        <v>5410.42</v>
      </c>
      <c r="M366">
        <f t="shared" si="5"/>
        <v>5410.4160000000011</v>
      </c>
    </row>
    <row r="367" spans="1:13" x14ac:dyDescent="0.3">
      <c r="A367" t="s">
        <v>424</v>
      </c>
      <c r="B367" s="1">
        <v>45786</v>
      </c>
      <c r="C367" t="s">
        <v>86</v>
      </c>
      <c r="D367" t="s">
        <v>14</v>
      </c>
      <c r="E367" t="s">
        <v>66</v>
      </c>
      <c r="F367" t="s">
        <v>67</v>
      </c>
      <c r="G367" t="s">
        <v>37</v>
      </c>
      <c r="H367" t="s">
        <v>31</v>
      </c>
      <c r="I367">
        <v>8</v>
      </c>
      <c r="J367">
        <v>81.06</v>
      </c>
      <c r="K367">
        <v>10</v>
      </c>
      <c r="L367">
        <v>583.63</v>
      </c>
      <c r="M367">
        <f t="shared" si="5"/>
        <v>583.63200000000006</v>
      </c>
    </row>
    <row r="368" spans="1:13" x14ac:dyDescent="0.3">
      <c r="A368" t="s">
        <v>425</v>
      </c>
      <c r="B368" s="1">
        <v>46021</v>
      </c>
      <c r="C368" t="s">
        <v>24</v>
      </c>
      <c r="D368" t="s">
        <v>14</v>
      </c>
      <c r="E368" t="s">
        <v>73</v>
      </c>
      <c r="F368" t="s">
        <v>74</v>
      </c>
      <c r="G368" t="s">
        <v>37</v>
      </c>
      <c r="H368" t="s">
        <v>31</v>
      </c>
      <c r="I368">
        <v>10</v>
      </c>
      <c r="J368">
        <v>60.57</v>
      </c>
      <c r="K368">
        <v>15</v>
      </c>
      <c r="L368">
        <v>514.84</v>
      </c>
      <c r="M368">
        <f t="shared" si="5"/>
        <v>514.84500000000003</v>
      </c>
    </row>
    <row r="369" spans="1:13" x14ac:dyDescent="0.3">
      <c r="A369" t="s">
        <v>426</v>
      </c>
      <c r="B369" s="1">
        <v>45763</v>
      </c>
      <c r="C369" t="s">
        <v>28</v>
      </c>
      <c r="D369" t="s">
        <v>14</v>
      </c>
      <c r="E369" t="s">
        <v>73</v>
      </c>
      <c r="F369" t="s">
        <v>74</v>
      </c>
      <c r="G369" t="s">
        <v>22</v>
      </c>
      <c r="H369" t="s">
        <v>26</v>
      </c>
      <c r="I369">
        <v>5</v>
      </c>
      <c r="J369">
        <v>189.56</v>
      </c>
      <c r="K369">
        <v>15</v>
      </c>
      <c r="L369">
        <v>805.63</v>
      </c>
      <c r="M369">
        <f t="shared" si="5"/>
        <v>805.63</v>
      </c>
    </row>
    <row r="370" spans="1:13" x14ac:dyDescent="0.3">
      <c r="A370" t="s">
        <v>427</v>
      </c>
      <c r="B370" s="1">
        <v>45993</v>
      </c>
      <c r="C370" t="s">
        <v>45</v>
      </c>
      <c r="D370" t="s">
        <v>46</v>
      </c>
      <c r="E370" t="s">
        <v>47</v>
      </c>
      <c r="F370" t="s">
        <v>48</v>
      </c>
      <c r="G370" t="s">
        <v>37</v>
      </c>
      <c r="H370" t="s">
        <v>18</v>
      </c>
      <c r="I370">
        <v>4</v>
      </c>
      <c r="J370">
        <v>276.99</v>
      </c>
      <c r="K370">
        <v>5</v>
      </c>
      <c r="L370">
        <v>1052.56</v>
      </c>
      <c r="M370">
        <f t="shared" si="5"/>
        <v>1052.5619999999999</v>
      </c>
    </row>
    <row r="371" spans="1:13" x14ac:dyDescent="0.3">
      <c r="A371" t="s">
        <v>428</v>
      </c>
      <c r="B371" s="1">
        <v>45986</v>
      </c>
      <c r="C371" t="s">
        <v>79</v>
      </c>
      <c r="D371" t="s">
        <v>43</v>
      </c>
      <c r="E371" t="s">
        <v>47</v>
      </c>
      <c r="F371" t="s">
        <v>48</v>
      </c>
      <c r="G371" t="s">
        <v>22</v>
      </c>
      <c r="H371" t="s">
        <v>31</v>
      </c>
      <c r="I371">
        <v>26</v>
      </c>
      <c r="J371">
        <v>253.28</v>
      </c>
      <c r="K371">
        <v>15</v>
      </c>
      <c r="L371">
        <v>5597.49</v>
      </c>
      <c r="M371">
        <f t="shared" si="5"/>
        <v>5597.4879999999994</v>
      </c>
    </row>
    <row r="372" spans="1:13" x14ac:dyDescent="0.3">
      <c r="A372" t="s">
        <v>429</v>
      </c>
      <c r="B372" s="1">
        <v>45678</v>
      </c>
      <c r="C372" t="s">
        <v>69</v>
      </c>
      <c r="D372" t="s">
        <v>46</v>
      </c>
      <c r="E372" t="s">
        <v>15</v>
      </c>
      <c r="F372" t="s">
        <v>16</v>
      </c>
      <c r="G372" t="s">
        <v>37</v>
      </c>
      <c r="H372" t="s">
        <v>18</v>
      </c>
      <c r="I372">
        <v>21</v>
      </c>
      <c r="J372">
        <v>317.42</v>
      </c>
      <c r="K372">
        <v>10</v>
      </c>
      <c r="L372">
        <v>5999.24</v>
      </c>
      <c r="M372">
        <f t="shared" si="5"/>
        <v>5999.2380000000003</v>
      </c>
    </row>
    <row r="373" spans="1:13" x14ac:dyDescent="0.3">
      <c r="A373" t="s">
        <v>430</v>
      </c>
      <c r="B373" s="1">
        <v>45817</v>
      </c>
      <c r="C373" t="s">
        <v>71</v>
      </c>
      <c r="D373" t="s">
        <v>64</v>
      </c>
      <c r="E373" t="s">
        <v>39</v>
      </c>
      <c r="F373" t="s">
        <v>39</v>
      </c>
      <c r="G373" t="s">
        <v>17</v>
      </c>
      <c r="H373" t="s">
        <v>18</v>
      </c>
      <c r="I373">
        <v>8</v>
      </c>
      <c r="J373">
        <v>137.59</v>
      </c>
      <c r="K373">
        <v>5</v>
      </c>
      <c r="L373">
        <v>1045.68</v>
      </c>
      <c r="M373">
        <f t="shared" si="5"/>
        <v>1045.684</v>
      </c>
    </row>
    <row r="374" spans="1:13" x14ac:dyDescent="0.3">
      <c r="A374" t="s">
        <v>431</v>
      </c>
      <c r="B374" s="1">
        <v>45811</v>
      </c>
      <c r="C374" t="s">
        <v>24</v>
      </c>
      <c r="D374" t="s">
        <v>14</v>
      </c>
      <c r="E374" t="s">
        <v>34</v>
      </c>
      <c r="F374" t="s">
        <v>35</v>
      </c>
      <c r="G374" t="s">
        <v>37</v>
      </c>
      <c r="H374" t="s">
        <v>18</v>
      </c>
      <c r="I374">
        <v>17</v>
      </c>
      <c r="J374">
        <v>70.680000000000007</v>
      </c>
      <c r="K374">
        <v>5</v>
      </c>
      <c r="L374">
        <v>1141.48</v>
      </c>
      <c r="M374">
        <f t="shared" si="5"/>
        <v>1141.4820000000002</v>
      </c>
    </row>
    <row r="375" spans="1:13" x14ac:dyDescent="0.3">
      <c r="A375" t="s">
        <v>432</v>
      </c>
      <c r="B375" s="1">
        <v>45739</v>
      </c>
      <c r="C375" t="s">
        <v>28</v>
      </c>
      <c r="D375" t="s">
        <v>14</v>
      </c>
      <c r="E375" t="s">
        <v>60</v>
      </c>
      <c r="F375" t="s">
        <v>61</v>
      </c>
      <c r="G375" t="s">
        <v>37</v>
      </c>
      <c r="H375" t="s">
        <v>31</v>
      </c>
      <c r="I375">
        <v>26</v>
      </c>
      <c r="J375">
        <v>209.77</v>
      </c>
      <c r="K375">
        <v>20</v>
      </c>
      <c r="L375">
        <v>4363.22</v>
      </c>
      <c r="M375">
        <f t="shared" si="5"/>
        <v>4363.2160000000003</v>
      </c>
    </row>
    <row r="376" spans="1:13" x14ac:dyDescent="0.3">
      <c r="A376" t="s">
        <v>433</v>
      </c>
      <c r="B376" s="1">
        <v>46002</v>
      </c>
      <c r="C376" t="s">
        <v>104</v>
      </c>
      <c r="D376" t="s">
        <v>14</v>
      </c>
      <c r="E376" t="s">
        <v>21</v>
      </c>
      <c r="F376" t="s">
        <v>16</v>
      </c>
      <c r="G376" t="s">
        <v>22</v>
      </c>
      <c r="H376" t="s">
        <v>31</v>
      </c>
      <c r="I376">
        <v>6</v>
      </c>
      <c r="J376">
        <v>222.87</v>
      </c>
      <c r="K376">
        <v>10</v>
      </c>
      <c r="L376">
        <v>1203.5</v>
      </c>
      <c r="M376">
        <f t="shared" si="5"/>
        <v>1203.498</v>
      </c>
    </row>
    <row r="377" spans="1:13" x14ac:dyDescent="0.3">
      <c r="A377" t="s">
        <v>434</v>
      </c>
      <c r="B377" s="1">
        <v>45853</v>
      </c>
      <c r="C377" t="s">
        <v>104</v>
      </c>
      <c r="D377" t="s">
        <v>14</v>
      </c>
      <c r="E377" t="s">
        <v>52</v>
      </c>
      <c r="F377" t="s">
        <v>53</v>
      </c>
      <c r="G377" t="s">
        <v>17</v>
      </c>
      <c r="H377" t="s">
        <v>26</v>
      </c>
      <c r="I377">
        <v>10</v>
      </c>
      <c r="J377">
        <v>198.97</v>
      </c>
      <c r="K377">
        <v>20</v>
      </c>
      <c r="L377">
        <v>1591.76</v>
      </c>
      <c r="M377">
        <f t="shared" si="5"/>
        <v>1591.7600000000002</v>
      </c>
    </row>
    <row r="378" spans="1:13" x14ac:dyDescent="0.3">
      <c r="A378" t="s">
        <v>435</v>
      </c>
      <c r="B378" s="1">
        <v>45809</v>
      </c>
      <c r="C378" t="s">
        <v>42</v>
      </c>
      <c r="D378" t="s">
        <v>43</v>
      </c>
      <c r="E378" t="s">
        <v>66</v>
      </c>
      <c r="F378" t="s">
        <v>67</v>
      </c>
      <c r="G378" t="s">
        <v>17</v>
      </c>
      <c r="H378" t="s">
        <v>18</v>
      </c>
      <c r="I378">
        <v>23</v>
      </c>
      <c r="J378">
        <v>151.84</v>
      </c>
      <c r="K378">
        <v>0</v>
      </c>
      <c r="L378">
        <v>3492.32</v>
      </c>
      <c r="M378">
        <f t="shared" si="5"/>
        <v>3492.32</v>
      </c>
    </row>
    <row r="379" spans="1:13" x14ac:dyDescent="0.3">
      <c r="A379" t="s">
        <v>436</v>
      </c>
      <c r="B379" s="1">
        <v>45674</v>
      </c>
      <c r="C379" t="s">
        <v>69</v>
      </c>
      <c r="D379" t="s">
        <v>46</v>
      </c>
      <c r="E379" t="s">
        <v>39</v>
      </c>
      <c r="F379" t="s">
        <v>39</v>
      </c>
      <c r="G379" t="s">
        <v>37</v>
      </c>
      <c r="H379" t="s">
        <v>31</v>
      </c>
      <c r="I379">
        <v>12</v>
      </c>
      <c r="J379">
        <v>283.2</v>
      </c>
      <c r="K379">
        <v>0</v>
      </c>
      <c r="L379">
        <v>3398.4</v>
      </c>
      <c r="M379">
        <f t="shared" si="5"/>
        <v>3398.3999999999996</v>
      </c>
    </row>
    <row r="380" spans="1:13" x14ac:dyDescent="0.3">
      <c r="A380" t="s">
        <v>437</v>
      </c>
      <c r="B380" s="1">
        <v>45662</v>
      </c>
      <c r="C380" t="s">
        <v>81</v>
      </c>
      <c r="D380" t="s">
        <v>64</v>
      </c>
      <c r="E380" t="s">
        <v>47</v>
      </c>
      <c r="F380" t="s">
        <v>48</v>
      </c>
      <c r="G380" t="s">
        <v>25</v>
      </c>
      <c r="H380" t="s">
        <v>31</v>
      </c>
      <c r="I380">
        <v>3</v>
      </c>
      <c r="J380">
        <v>119.63</v>
      </c>
      <c r="K380">
        <v>20</v>
      </c>
      <c r="L380">
        <v>287.11</v>
      </c>
      <c r="M380">
        <f t="shared" si="5"/>
        <v>287.11200000000002</v>
      </c>
    </row>
    <row r="381" spans="1:13" x14ac:dyDescent="0.3">
      <c r="A381" t="s">
        <v>438</v>
      </c>
      <c r="B381" s="1">
        <v>45782</v>
      </c>
      <c r="C381" t="s">
        <v>81</v>
      </c>
      <c r="D381" t="s">
        <v>64</v>
      </c>
      <c r="E381" t="s">
        <v>47</v>
      </c>
      <c r="F381" t="s">
        <v>48</v>
      </c>
      <c r="G381" t="s">
        <v>37</v>
      </c>
      <c r="H381" t="s">
        <v>26</v>
      </c>
      <c r="I381">
        <v>3</v>
      </c>
      <c r="J381">
        <v>110.34</v>
      </c>
      <c r="K381">
        <v>10</v>
      </c>
      <c r="L381">
        <v>297.92</v>
      </c>
      <c r="M381">
        <f t="shared" si="5"/>
        <v>297.91800000000001</v>
      </c>
    </row>
    <row r="382" spans="1:13" x14ac:dyDescent="0.3">
      <c r="A382" t="s">
        <v>439</v>
      </c>
      <c r="B382" s="1">
        <v>45795</v>
      </c>
      <c r="C382" t="s">
        <v>13</v>
      </c>
      <c r="D382" t="s">
        <v>14</v>
      </c>
      <c r="E382" t="s">
        <v>47</v>
      </c>
      <c r="F382" t="s">
        <v>48</v>
      </c>
      <c r="G382" t="s">
        <v>37</v>
      </c>
      <c r="H382" t="s">
        <v>18</v>
      </c>
      <c r="I382">
        <v>9</v>
      </c>
      <c r="J382">
        <v>50.73</v>
      </c>
      <c r="K382">
        <v>10</v>
      </c>
      <c r="L382">
        <v>410.91</v>
      </c>
      <c r="M382">
        <f t="shared" si="5"/>
        <v>410.91300000000001</v>
      </c>
    </row>
    <row r="383" spans="1:13" x14ac:dyDescent="0.3">
      <c r="A383" t="s">
        <v>440</v>
      </c>
      <c r="B383" s="1">
        <v>45725</v>
      </c>
      <c r="C383" t="s">
        <v>89</v>
      </c>
      <c r="D383" t="s">
        <v>64</v>
      </c>
      <c r="E383" t="s">
        <v>21</v>
      </c>
      <c r="F383" t="s">
        <v>16</v>
      </c>
      <c r="G383" t="s">
        <v>22</v>
      </c>
      <c r="H383" t="s">
        <v>26</v>
      </c>
      <c r="I383">
        <v>8</v>
      </c>
      <c r="J383">
        <v>118.19</v>
      </c>
      <c r="K383">
        <v>5</v>
      </c>
      <c r="L383">
        <v>898.24</v>
      </c>
      <c r="M383">
        <f t="shared" si="5"/>
        <v>898.24399999999991</v>
      </c>
    </row>
    <row r="384" spans="1:13" x14ac:dyDescent="0.3">
      <c r="A384" t="s">
        <v>441</v>
      </c>
      <c r="B384" s="1">
        <v>45749</v>
      </c>
      <c r="C384" t="s">
        <v>45</v>
      </c>
      <c r="D384" t="s">
        <v>46</v>
      </c>
      <c r="E384" t="s">
        <v>15</v>
      </c>
      <c r="F384" t="s">
        <v>16</v>
      </c>
      <c r="G384" t="s">
        <v>25</v>
      </c>
      <c r="H384" t="s">
        <v>18</v>
      </c>
      <c r="I384">
        <v>25</v>
      </c>
      <c r="J384">
        <v>268.32</v>
      </c>
      <c r="K384">
        <v>15</v>
      </c>
      <c r="L384">
        <v>5701.8</v>
      </c>
      <c r="M384">
        <f t="shared" si="5"/>
        <v>5701.8</v>
      </c>
    </row>
    <row r="385" spans="1:13" x14ac:dyDescent="0.3">
      <c r="A385" t="s">
        <v>442</v>
      </c>
      <c r="B385" s="1">
        <v>45723</v>
      </c>
      <c r="C385" t="s">
        <v>45</v>
      </c>
      <c r="D385" t="s">
        <v>46</v>
      </c>
      <c r="E385" t="s">
        <v>34</v>
      </c>
      <c r="F385" t="s">
        <v>35</v>
      </c>
      <c r="G385" t="s">
        <v>17</v>
      </c>
      <c r="H385" t="s">
        <v>26</v>
      </c>
      <c r="I385">
        <v>9</v>
      </c>
      <c r="J385">
        <v>318.13</v>
      </c>
      <c r="K385">
        <v>5</v>
      </c>
      <c r="L385">
        <v>2720.01</v>
      </c>
      <c r="M385">
        <f t="shared" si="5"/>
        <v>2720.0115000000001</v>
      </c>
    </row>
    <row r="386" spans="1:13" x14ac:dyDescent="0.3">
      <c r="A386" t="s">
        <v>443</v>
      </c>
      <c r="B386" s="1">
        <v>45884</v>
      </c>
      <c r="C386" t="s">
        <v>55</v>
      </c>
      <c r="D386" t="s">
        <v>14</v>
      </c>
      <c r="E386" t="s">
        <v>60</v>
      </c>
      <c r="F386" t="s">
        <v>61</v>
      </c>
      <c r="G386" t="s">
        <v>25</v>
      </c>
      <c r="H386" t="s">
        <v>18</v>
      </c>
      <c r="I386">
        <v>9</v>
      </c>
      <c r="J386">
        <v>172.17</v>
      </c>
      <c r="K386">
        <v>5</v>
      </c>
      <c r="L386">
        <v>1472.05</v>
      </c>
      <c r="M386">
        <f t="shared" ref="M386:M449" si="6">I386*J386*(1-K386/100)</f>
        <v>1472.0535</v>
      </c>
    </row>
    <row r="387" spans="1:13" x14ac:dyDescent="0.3">
      <c r="A387" t="s">
        <v>444</v>
      </c>
      <c r="B387" s="1">
        <v>45854</v>
      </c>
      <c r="C387" t="s">
        <v>86</v>
      </c>
      <c r="D387" t="s">
        <v>14</v>
      </c>
      <c r="E387" t="s">
        <v>56</v>
      </c>
      <c r="F387" t="s">
        <v>48</v>
      </c>
      <c r="G387" t="s">
        <v>37</v>
      </c>
      <c r="H387" t="s">
        <v>18</v>
      </c>
      <c r="I387">
        <v>26</v>
      </c>
      <c r="J387">
        <v>73.459999999999994</v>
      </c>
      <c r="K387">
        <v>10</v>
      </c>
      <c r="L387">
        <v>1718.96</v>
      </c>
      <c r="M387">
        <f t="shared" si="6"/>
        <v>1718.9639999999999</v>
      </c>
    </row>
    <row r="388" spans="1:13" x14ac:dyDescent="0.3">
      <c r="A388" t="s">
        <v>445</v>
      </c>
      <c r="B388" s="1">
        <v>45954</v>
      </c>
      <c r="C388" t="s">
        <v>89</v>
      </c>
      <c r="D388" t="s">
        <v>64</v>
      </c>
      <c r="E388" t="s">
        <v>34</v>
      </c>
      <c r="F388" t="s">
        <v>35</v>
      </c>
      <c r="G388" t="s">
        <v>37</v>
      </c>
      <c r="H388" t="s">
        <v>31</v>
      </c>
      <c r="I388">
        <v>9</v>
      </c>
      <c r="J388">
        <v>105.32</v>
      </c>
      <c r="K388">
        <v>15</v>
      </c>
      <c r="L388">
        <v>805.7</v>
      </c>
      <c r="M388">
        <f t="shared" si="6"/>
        <v>805.69799999999987</v>
      </c>
    </row>
    <row r="389" spans="1:13" x14ac:dyDescent="0.3">
      <c r="A389" t="s">
        <v>446</v>
      </c>
      <c r="B389" s="1">
        <v>45699</v>
      </c>
      <c r="C389" t="s">
        <v>71</v>
      </c>
      <c r="D389" t="s">
        <v>64</v>
      </c>
      <c r="E389" t="s">
        <v>29</v>
      </c>
      <c r="F389" t="s">
        <v>30</v>
      </c>
      <c r="G389" t="s">
        <v>17</v>
      </c>
      <c r="H389" t="s">
        <v>18</v>
      </c>
      <c r="I389">
        <v>10</v>
      </c>
      <c r="J389">
        <v>146.88</v>
      </c>
      <c r="K389">
        <v>5</v>
      </c>
      <c r="L389">
        <v>1395.36</v>
      </c>
      <c r="M389">
        <f t="shared" si="6"/>
        <v>1395.36</v>
      </c>
    </row>
    <row r="390" spans="1:13" x14ac:dyDescent="0.3">
      <c r="A390" t="s">
        <v>447</v>
      </c>
      <c r="B390" s="1">
        <v>45916</v>
      </c>
      <c r="C390" t="s">
        <v>28</v>
      </c>
      <c r="D390" t="s">
        <v>14</v>
      </c>
      <c r="E390" t="s">
        <v>15</v>
      </c>
      <c r="F390" t="s">
        <v>16</v>
      </c>
      <c r="G390" t="s">
        <v>25</v>
      </c>
      <c r="H390" t="s">
        <v>31</v>
      </c>
      <c r="I390">
        <v>8</v>
      </c>
      <c r="J390">
        <v>214.77</v>
      </c>
      <c r="K390">
        <v>20</v>
      </c>
      <c r="L390">
        <v>1374.53</v>
      </c>
      <c r="M390">
        <f t="shared" si="6"/>
        <v>1374.5280000000002</v>
      </c>
    </row>
    <row r="391" spans="1:13" x14ac:dyDescent="0.3">
      <c r="A391" t="s">
        <v>448</v>
      </c>
      <c r="B391" s="1">
        <v>45833</v>
      </c>
      <c r="C391" t="s">
        <v>33</v>
      </c>
      <c r="D391" t="s">
        <v>14</v>
      </c>
      <c r="E391" t="s">
        <v>39</v>
      </c>
      <c r="F391" t="s">
        <v>39</v>
      </c>
      <c r="G391" t="s">
        <v>22</v>
      </c>
      <c r="H391" t="s">
        <v>31</v>
      </c>
      <c r="I391">
        <v>2</v>
      </c>
      <c r="J391">
        <v>122.35</v>
      </c>
      <c r="K391">
        <v>20</v>
      </c>
      <c r="L391">
        <v>195.76</v>
      </c>
      <c r="M391">
        <f t="shared" si="6"/>
        <v>195.76</v>
      </c>
    </row>
    <row r="392" spans="1:13" x14ac:dyDescent="0.3">
      <c r="A392" t="s">
        <v>449</v>
      </c>
      <c r="B392" s="1">
        <v>45689</v>
      </c>
      <c r="C392" t="s">
        <v>33</v>
      </c>
      <c r="D392" t="s">
        <v>14</v>
      </c>
      <c r="E392" t="s">
        <v>29</v>
      </c>
      <c r="F392" t="s">
        <v>30</v>
      </c>
      <c r="G392" t="s">
        <v>37</v>
      </c>
      <c r="H392" t="s">
        <v>31</v>
      </c>
      <c r="I392">
        <v>7</v>
      </c>
      <c r="J392">
        <v>131.22999999999999</v>
      </c>
      <c r="K392">
        <v>10</v>
      </c>
      <c r="L392">
        <v>826.75</v>
      </c>
      <c r="M392">
        <f t="shared" si="6"/>
        <v>826.74899999999991</v>
      </c>
    </row>
    <row r="393" spans="1:13" x14ac:dyDescent="0.3">
      <c r="A393" t="s">
        <v>450</v>
      </c>
      <c r="B393" s="1">
        <v>45678</v>
      </c>
      <c r="C393" t="s">
        <v>55</v>
      </c>
      <c r="D393" t="s">
        <v>14</v>
      </c>
      <c r="E393" t="s">
        <v>52</v>
      </c>
      <c r="F393" t="s">
        <v>53</v>
      </c>
      <c r="G393" t="s">
        <v>22</v>
      </c>
      <c r="H393" t="s">
        <v>31</v>
      </c>
      <c r="I393">
        <v>24</v>
      </c>
      <c r="J393">
        <v>196.82</v>
      </c>
      <c r="K393">
        <v>20</v>
      </c>
      <c r="L393">
        <v>3778.94</v>
      </c>
      <c r="M393">
        <f t="shared" si="6"/>
        <v>3778.9440000000004</v>
      </c>
    </row>
    <row r="394" spans="1:13" x14ac:dyDescent="0.3">
      <c r="A394" t="s">
        <v>451</v>
      </c>
      <c r="B394" s="1">
        <v>45982</v>
      </c>
      <c r="C394" t="s">
        <v>45</v>
      </c>
      <c r="D394" t="s">
        <v>46</v>
      </c>
      <c r="E394" t="s">
        <v>39</v>
      </c>
      <c r="F394" t="s">
        <v>39</v>
      </c>
      <c r="G394" t="s">
        <v>37</v>
      </c>
      <c r="H394" t="s">
        <v>31</v>
      </c>
      <c r="I394">
        <v>27</v>
      </c>
      <c r="J394">
        <v>285.79000000000002</v>
      </c>
      <c r="K394">
        <v>10</v>
      </c>
      <c r="L394">
        <v>6944.7</v>
      </c>
      <c r="M394">
        <f t="shared" si="6"/>
        <v>6944.697000000001</v>
      </c>
    </row>
    <row r="395" spans="1:13" x14ac:dyDescent="0.3">
      <c r="A395" t="s">
        <v>452</v>
      </c>
      <c r="B395" s="1">
        <v>45884</v>
      </c>
      <c r="C395" t="s">
        <v>55</v>
      </c>
      <c r="D395" t="s">
        <v>14</v>
      </c>
      <c r="E395" t="s">
        <v>21</v>
      </c>
      <c r="F395" t="s">
        <v>16</v>
      </c>
      <c r="G395" t="s">
        <v>17</v>
      </c>
      <c r="H395" t="s">
        <v>26</v>
      </c>
      <c r="I395">
        <v>21</v>
      </c>
      <c r="J395">
        <v>194.05</v>
      </c>
      <c r="K395">
        <v>20</v>
      </c>
      <c r="L395">
        <v>3260.04</v>
      </c>
      <c r="M395">
        <f t="shared" si="6"/>
        <v>3260.0400000000004</v>
      </c>
    </row>
    <row r="396" spans="1:13" x14ac:dyDescent="0.3">
      <c r="A396" t="s">
        <v>453</v>
      </c>
      <c r="B396" s="1">
        <v>45717</v>
      </c>
      <c r="C396" t="s">
        <v>69</v>
      </c>
      <c r="D396" t="s">
        <v>46</v>
      </c>
      <c r="E396" t="s">
        <v>52</v>
      </c>
      <c r="F396" t="s">
        <v>53</v>
      </c>
      <c r="G396" t="s">
        <v>17</v>
      </c>
      <c r="H396" t="s">
        <v>26</v>
      </c>
      <c r="I396">
        <v>21</v>
      </c>
      <c r="J396">
        <v>335.93</v>
      </c>
      <c r="K396">
        <v>10</v>
      </c>
      <c r="L396">
        <v>6349.08</v>
      </c>
      <c r="M396">
        <f t="shared" si="6"/>
        <v>6349.0770000000002</v>
      </c>
    </row>
    <row r="397" spans="1:13" x14ac:dyDescent="0.3">
      <c r="A397" t="s">
        <v>454</v>
      </c>
      <c r="B397" s="1">
        <v>45870</v>
      </c>
      <c r="C397" t="s">
        <v>28</v>
      </c>
      <c r="D397" t="s">
        <v>14</v>
      </c>
      <c r="E397" t="s">
        <v>73</v>
      </c>
      <c r="F397" t="s">
        <v>74</v>
      </c>
      <c r="G397" t="s">
        <v>22</v>
      </c>
      <c r="H397" t="s">
        <v>31</v>
      </c>
      <c r="I397">
        <v>16</v>
      </c>
      <c r="J397">
        <v>216.37</v>
      </c>
      <c r="K397">
        <v>0</v>
      </c>
      <c r="L397">
        <v>3461.92</v>
      </c>
      <c r="M397">
        <f t="shared" si="6"/>
        <v>3461.92</v>
      </c>
    </row>
    <row r="398" spans="1:13" x14ac:dyDescent="0.3">
      <c r="A398" t="s">
        <v>455</v>
      </c>
      <c r="B398" s="1">
        <v>45934</v>
      </c>
      <c r="C398" t="s">
        <v>24</v>
      </c>
      <c r="D398" t="s">
        <v>14</v>
      </c>
      <c r="E398" t="s">
        <v>39</v>
      </c>
      <c r="F398" t="s">
        <v>39</v>
      </c>
      <c r="G398" t="s">
        <v>25</v>
      </c>
      <c r="H398" t="s">
        <v>18</v>
      </c>
      <c r="I398">
        <v>13</v>
      </c>
      <c r="J398">
        <v>62.86</v>
      </c>
      <c r="K398">
        <v>5</v>
      </c>
      <c r="L398">
        <v>776.32</v>
      </c>
      <c r="M398">
        <f t="shared" si="6"/>
        <v>776.32099999999991</v>
      </c>
    </row>
    <row r="399" spans="1:13" x14ac:dyDescent="0.3">
      <c r="A399" t="s">
        <v>456</v>
      </c>
      <c r="B399" s="1">
        <v>45691</v>
      </c>
      <c r="C399" t="s">
        <v>28</v>
      </c>
      <c r="D399" t="s">
        <v>14</v>
      </c>
      <c r="E399" t="s">
        <v>60</v>
      </c>
      <c r="F399" t="s">
        <v>61</v>
      </c>
      <c r="G399" t="s">
        <v>25</v>
      </c>
      <c r="H399" t="s">
        <v>31</v>
      </c>
      <c r="I399">
        <v>2</v>
      </c>
      <c r="J399">
        <v>199.07</v>
      </c>
      <c r="K399">
        <v>15</v>
      </c>
      <c r="L399">
        <v>338.42</v>
      </c>
      <c r="M399">
        <f t="shared" si="6"/>
        <v>338.41899999999998</v>
      </c>
    </row>
    <row r="400" spans="1:13" x14ac:dyDescent="0.3">
      <c r="A400" t="s">
        <v>457</v>
      </c>
      <c r="B400" s="1">
        <v>45982</v>
      </c>
      <c r="C400" t="s">
        <v>55</v>
      </c>
      <c r="D400" t="s">
        <v>14</v>
      </c>
      <c r="E400" t="s">
        <v>21</v>
      </c>
      <c r="F400" t="s">
        <v>16</v>
      </c>
      <c r="G400" t="s">
        <v>22</v>
      </c>
      <c r="H400" t="s">
        <v>31</v>
      </c>
      <c r="I400">
        <v>27</v>
      </c>
      <c r="J400">
        <v>184.1</v>
      </c>
      <c r="K400">
        <v>0</v>
      </c>
      <c r="L400">
        <v>4970.7</v>
      </c>
      <c r="M400">
        <f t="shared" si="6"/>
        <v>4970.7</v>
      </c>
    </row>
    <row r="401" spans="1:13" x14ac:dyDescent="0.3">
      <c r="A401" t="s">
        <v>458</v>
      </c>
      <c r="B401" s="1">
        <v>45929</v>
      </c>
      <c r="C401" t="s">
        <v>28</v>
      </c>
      <c r="D401" t="s">
        <v>14</v>
      </c>
      <c r="E401" t="s">
        <v>34</v>
      </c>
      <c r="F401" t="s">
        <v>35</v>
      </c>
      <c r="G401" t="s">
        <v>25</v>
      </c>
      <c r="H401" t="s">
        <v>18</v>
      </c>
      <c r="I401">
        <v>28</v>
      </c>
      <c r="J401">
        <v>215.63</v>
      </c>
      <c r="K401">
        <v>15</v>
      </c>
      <c r="L401">
        <v>5131.99</v>
      </c>
      <c r="M401">
        <f t="shared" si="6"/>
        <v>5131.9939999999997</v>
      </c>
    </row>
    <row r="402" spans="1:13" x14ac:dyDescent="0.3">
      <c r="A402" t="s">
        <v>459</v>
      </c>
      <c r="B402" s="1">
        <v>45781</v>
      </c>
      <c r="C402" t="s">
        <v>81</v>
      </c>
      <c r="D402" t="s">
        <v>64</v>
      </c>
      <c r="E402" t="s">
        <v>39</v>
      </c>
      <c r="F402" t="s">
        <v>39</v>
      </c>
      <c r="G402" t="s">
        <v>22</v>
      </c>
      <c r="H402" t="s">
        <v>18</v>
      </c>
      <c r="I402">
        <v>8</v>
      </c>
      <c r="J402">
        <v>112.01</v>
      </c>
      <c r="K402">
        <v>15</v>
      </c>
      <c r="L402">
        <v>761.67</v>
      </c>
      <c r="M402">
        <f t="shared" si="6"/>
        <v>761.66800000000001</v>
      </c>
    </row>
    <row r="403" spans="1:13" x14ac:dyDescent="0.3">
      <c r="A403" t="s">
        <v>460</v>
      </c>
      <c r="B403" s="1">
        <v>45960</v>
      </c>
      <c r="C403" t="s">
        <v>63</v>
      </c>
      <c r="D403" t="s">
        <v>64</v>
      </c>
      <c r="E403" t="s">
        <v>60</v>
      </c>
      <c r="F403" t="s">
        <v>61</v>
      </c>
      <c r="G403" t="s">
        <v>22</v>
      </c>
      <c r="H403" t="s">
        <v>18</v>
      </c>
      <c r="I403">
        <v>4</v>
      </c>
      <c r="J403">
        <v>290.87</v>
      </c>
      <c r="K403">
        <v>0</v>
      </c>
      <c r="L403">
        <v>1163.48</v>
      </c>
      <c r="M403">
        <f t="shared" si="6"/>
        <v>1163.48</v>
      </c>
    </row>
    <row r="404" spans="1:13" x14ac:dyDescent="0.3">
      <c r="A404" t="s">
        <v>461</v>
      </c>
      <c r="B404" s="1">
        <v>45799</v>
      </c>
      <c r="C404" t="s">
        <v>86</v>
      </c>
      <c r="D404" t="s">
        <v>14</v>
      </c>
      <c r="E404" t="s">
        <v>29</v>
      </c>
      <c r="F404" t="s">
        <v>30</v>
      </c>
      <c r="G404" t="s">
        <v>22</v>
      </c>
      <c r="H404" t="s">
        <v>26</v>
      </c>
      <c r="I404">
        <v>22</v>
      </c>
      <c r="J404">
        <v>73.62</v>
      </c>
      <c r="K404">
        <v>15</v>
      </c>
      <c r="L404">
        <v>1376.69</v>
      </c>
      <c r="M404">
        <f t="shared" si="6"/>
        <v>1376.694</v>
      </c>
    </row>
    <row r="405" spans="1:13" x14ac:dyDescent="0.3">
      <c r="A405" t="s">
        <v>462</v>
      </c>
      <c r="B405" s="1">
        <v>45864</v>
      </c>
      <c r="C405" t="s">
        <v>71</v>
      </c>
      <c r="D405" t="s">
        <v>64</v>
      </c>
      <c r="E405" t="s">
        <v>52</v>
      </c>
      <c r="F405" t="s">
        <v>53</v>
      </c>
      <c r="G405" t="s">
        <v>17</v>
      </c>
      <c r="H405" t="s">
        <v>18</v>
      </c>
      <c r="I405">
        <v>10</v>
      </c>
      <c r="J405">
        <v>158.65</v>
      </c>
      <c r="K405">
        <v>20</v>
      </c>
      <c r="L405">
        <v>1269.2</v>
      </c>
      <c r="M405">
        <f t="shared" si="6"/>
        <v>1269.2</v>
      </c>
    </row>
    <row r="406" spans="1:13" x14ac:dyDescent="0.3">
      <c r="A406" t="s">
        <v>463</v>
      </c>
      <c r="B406" s="1">
        <v>45748</v>
      </c>
      <c r="C406" t="s">
        <v>81</v>
      </c>
      <c r="D406" t="s">
        <v>64</v>
      </c>
      <c r="E406" t="s">
        <v>21</v>
      </c>
      <c r="F406" t="s">
        <v>16</v>
      </c>
      <c r="G406" t="s">
        <v>17</v>
      </c>
      <c r="H406" t="s">
        <v>31</v>
      </c>
      <c r="I406">
        <v>28</v>
      </c>
      <c r="J406">
        <v>108</v>
      </c>
      <c r="K406">
        <v>10</v>
      </c>
      <c r="L406">
        <v>2721.6</v>
      </c>
      <c r="M406">
        <f t="shared" si="6"/>
        <v>2721.6</v>
      </c>
    </row>
    <row r="407" spans="1:13" x14ac:dyDescent="0.3">
      <c r="A407" t="s">
        <v>464</v>
      </c>
      <c r="B407" s="1">
        <v>45804</v>
      </c>
      <c r="C407" t="s">
        <v>81</v>
      </c>
      <c r="D407" t="s">
        <v>64</v>
      </c>
      <c r="E407" t="s">
        <v>60</v>
      </c>
      <c r="F407" t="s">
        <v>61</v>
      </c>
      <c r="G407" t="s">
        <v>25</v>
      </c>
      <c r="H407" t="s">
        <v>31</v>
      </c>
      <c r="I407">
        <v>15</v>
      </c>
      <c r="J407">
        <v>128.75</v>
      </c>
      <c r="K407">
        <v>10</v>
      </c>
      <c r="L407">
        <v>1738.12</v>
      </c>
      <c r="M407">
        <f t="shared" si="6"/>
        <v>1738.125</v>
      </c>
    </row>
    <row r="408" spans="1:13" x14ac:dyDescent="0.3">
      <c r="A408" t="s">
        <v>465</v>
      </c>
      <c r="B408" s="1">
        <v>45759</v>
      </c>
      <c r="C408" t="s">
        <v>45</v>
      </c>
      <c r="D408" t="s">
        <v>46</v>
      </c>
      <c r="E408" t="s">
        <v>34</v>
      </c>
      <c r="F408" t="s">
        <v>35</v>
      </c>
      <c r="G408" t="s">
        <v>37</v>
      </c>
      <c r="H408" t="s">
        <v>26</v>
      </c>
      <c r="I408">
        <v>26</v>
      </c>
      <c r="J408">
        <v>285.44</v>
      </c>
      <c r="K408">
        <v>5</v>
      </c>
      <c r="L408">
        <v>7050.37</v>
      </c>
      <c r="M408">
        <f t="shared" si="6"/>
        <v>7050.3679999999995</v>
      </c>
    </row>
    <row r="409" spans="1:13" x14ac:dyDescent="0.3">
      <c r="A409" t="s">
        <v>466</v>
      </c>
      <c r="B409" s="1">
        <v>45932</v>
      </c>
      <c r="C409" t="s">
        <v>13</v>
      </c>
      <c r="D409" t="s">
        <v>14</v>
      </c>
      <c r="E409" t="s">
        <v>47</v>
      </c>
      <c r="F409" t="s">
        <v>48</v>
      </c>
      <c r="G409" t="s">
        <v>37</v>
      </c>
      <c r="H409" t="s">
        <v>26</v>
      </c>
      <c r="I409">
        <v>20</v>
      </c>
      <c r="J409">
        <v>60.2</v>
      </c>
      <c r="K409">
        <v>10</v>
      </c>
      <c r="L409">
        <v>1083.5999999999999</v>
      </c>
      <c r="M409">
        <f t="shared" si="6"/>
        <v>1083.6000000000001</v>
      </c>
    </row>
    <row r="410" spans="1:13" x14ac:dyDescent="0.3">
      <c r="A410" t="s">
        <v>467</v>
      </c>
      <c r="B410" s="1">
        <v>45908</v>
      </c>
      <c r="C410" t="s">
        <v>55</v>
      </c>
      <c r="D410" t="s">
        <v>14</v>
      </c>
      <c r="E410" t="s">
        <v>52</v>
      </c>
      <c r="F410" t="s">
        <v>53</v>
      </c>
      <c r="G410" t="s">
        <v>37</v>
      </c>
      <c r="H410" t="s">
        <v>26</v>
      </c>
      <c r="I410">
        <v>8</v>
      </c>
      <c r="J410">
        <v>184.37</v>
      </c>
      <c r="K410">
        <v>0</v>
      </c>
      <c r="L410">
        <v>1474.96</v>
      </c>
      <c r="M410">
        <f t="shared" si="6"/>
        <v>1474.96</v>
      </c>
    </row>
    <row r="411" spans="1:13" x14ac:dyDescent="0.3">
      <c r="A411" t="s">
        <v>468</v>
      </c>
      <c r="B411" s="1">
        <v>45974</v>
      </c>
      <c r="C411" t="s">
        <v>28</v>
      </c>
      <c r="D411" t="s">
        <v>14</v>
      </c>
      <c r="E411" t="s">
        <v>56</v>
      </c>
      <c r="F411" t="s">
        <v>48</v>
      </c>
      <c r="G411" t="s">
        <v>17</v>
      </c>
      <c r="H411" t="s">
        <v>18</v>
      </c>
      <c r="I411">
        <v>16</v>
      </c>
      <c r="J411">
        <v>207.89</v>
      </c>
      <c r="K411">
        <v>20</v>
      </c>
      <c r="L411">
        <v>2660.99</v>
      </c>
      <c r="M411">
        <f t="shared" si="6"/>
        <v>2660.9920000000002</v>
      </c>
    </row>
    <row r="412" spans="1:13" x14ac:dyDescent="0.3">
      <c r="A412" t="s">
        <v>469</v>
      </c>
      <c r="B412" s="1">
        <v>45746</v>
      </c>
      <c r="C412" t="s">
        <v>71</v>
      </c>
      <c r="D412" t="s">
        <v>64</v>
      </c>
      <c r="E412" t="s">
        <v>60</v>
      </c>
      <c r="F412" t="s">
        <v>61</v>
      </c>
      <c r="G412" t="s">
        <v>17</v>
      </c>
      <c r="H412" t="s">
        <v>31</v>
      </c>
      <c r="I412">
        <v>10</v>
      </c>
      <c r="J412">
        <v>135.37</v>
      </c>
      <c r="K412">
        <v>15</v>
      </c>
      <c r="L412">
        <v>1150.6400000000001</v>
      </c>
      <c r="M412">
        <f t="shared" si="6"/>
        <v>1150.645</v>
      </c>
    </row>
    <row r="413" spans="1:13" x14ac:dyDescent="0.3">
      <c r="A413" t="s">
        <v>470</v>
      </c>
      <c r="B413" s="1">
        <v>45853</v>
      </c>
      <c r="C413" t="s">
        <v>45</v>
      </c>
      <c r="D413" t="s">
        <v>46</v>
      </c>
      <c r="E413" t="s">
        <v>34</v>
      </c>
      <c r="F413" t="s">
        <v>35</v>
      </c>
      <c r="G413" t="s">
        <v>17</v>
      </c>
      <c r="H413" t="s">
        <v>18</v>
      </c>
      <c r="I413">
        <v>10</v>
      </c>
      <c r="J413">
        <v>278.39999999999998</v>
      </c>
      <c r="K413">
        <v>0</v>
      </c>
      <c r="L413">
        <v>2784</v>
      </c>
      <c r="M413">
        <f t="shared" si="6"/>
        <v>2784</v>
      </c>
    </row>
    <row r="414" spans="1:13" x14ac:dyDescent="0.3">
      <c r="A414" t="s">
        <v>471</v>
      </c>
      <c r="B414" s="1">
        <v>45777</v>
      </c>
      <c r="C414" t="s">
        <v>33</v>
      </c>
      <c r="D414" t="s">
        <v>14</v>
      </c>
      <c r="E414" t="s">
        <v>15</v>
      </c>
      <c r="F414" t="s">
        <v>16</v>
      </c>
      <c r="G414" t="s">
        <v>37</v>
      </c>
      <c r="H414" t="s">
        <v>31</v>
      </c>
      <c r="I414">
        <v>10</v>
      </c>
      <c r="J414">
        <v>115.93</v>
      </c>
      <c r="K414">
        <v>0</v>
      </c>
      <c r="L414">
        <v>1159.3</v>
      </c>
      <c r="M414">
        <f t="shared" si="6"/>
        <v>1159.3000000000002</v>
      </c>
    </row>
    <row r="415" spans="1:13" x14ac:dyDescent="0.3">
      <c r="A415" t="s">
        <v>472</v>
      </c>
      <c r="B415" s="1">
        <v>45692</v>
      </c>
      <c r="C415" t="s">
        <v>42</v>
      </c>
      <c r="D415" t="s">
        <v>43</v>
      </c>
      <c r="E415" t="s">
        <v>56</v>
      </c>
      <c r="F415" t="s">
        <v>48</v>
      </c>
      <c r="G415" t="s">
        <v>37</v>
      </c>
      <c r="H415" t="s">
        <v>26</v>
      </c>
      <c r="I415">
        <v>18</v>
      </c>
      <c r="J415">
        <v>143.56</v>
      </c>
      <c r="K415">
        <v>15</v>
      </c>
      <c r="L415">
        <v>2196.4699999999998</v>
      </c>
      <c r="M415">
        <f t="shared" si="6"/>
        <v>2196.4679999999998</v>
      </c>
    </row>
    <row r="416" spans="1:13" x14ac:dyDescent="0.3">
      <c r="A416" t="s">
        <v>473</v>
      </c>
      <c r="B416" s="1">
        <v>46014</v>
      </c>
      <c r="C416" t="s">
        <v>33</v>
      </c>
      <c r="D416" t="s">
        <v>14</v>
      </c>
      <c r="E416" t="s">
        <v>39</v>
      </c>
      <c r="F416" t="s">
        <v>39</v>
      </c>
      <c r="G416" t="s">
        <v>17</v>
      </c>
      <c r="H416" t="s">
        <v>18</v>
      </c>
      <c r="I416">
        <v>22</v>
      </c>
      <c r="J416">
        <v>109.53</v>
      </c>
      <c r="K416">
        <v>15</v>
      </c>
      <c r="L416">
        <v>2048.21</v>
      </c>
      <c r="M416">
        <f t="shared" si="6"/>
        <v>2048.2109999999998</v>
      </c>
    </row>
    <row r="417" spans="1:13" x14ac:dyDescent="0.3">
      <c r="A417" t="s">
        <v>474</v>
      </c>
      <c r="B417" s="1">
        <v>45981</v>
      </c>
      <c r="C417" t="s">
        <v>89</v>
      </c>
      <c r="D417" t="s">
        <v>64</v>
      </c>
      <c r="E417" t="s">
        <v>52</v>
      </c>
      <c r="F417" t="s">
        <v>53</v>
      </c>
      <c r="G417" t="s">
        <v>17</v>
      </c>
      <c r="H417" t="s">
        <v>26</v>
      </c>
      <c r="I417">
        <v>30</v>
      </c>
      <c r="J417">
        <v>110.56</v>
      </c>
      <c r="K417">
        <v>0</v>
      </c>
      <c r="L417">
        <v>3316.8</v>
      </c>
      <c r="M417">
        <f t="shared" si="6"/>
        <v>3316.8</v>
      </c>
    </row>
    <row r="418" spans="1:13" x14ac:dyDescent="0.3">
      <c r="A418" t="s">
        <v>475</v>
      </c>
      <c r="B418" s="1">
        <v>45733</v>
      </c>
      <c r="C418" t="s">
        <v>89</v>
      </c>
      <c r="D418" t="s">
        <v>64</v>
      </c>
      <c r="E418" t="s">
        <v>101</v>
      </c>
      <c r="F418" t="s">
        <v>16</v>
      </c>
      <c r="G418" t="s">
        <v>25</v>
      </c>
      <c r="H418" t="s">
        <v>26</v>
      </c>
      <c r="I418">
        <v>9</v>
      </c>
      <c r="J418">
        <v>110.38</v>
      </c>
      <c r="K418">
        <v>15</v>
      </c>
      <c r="L418">
        <v>844.41</v>
      </c>
      <c r="M418">
        <f t="shared" si="6"/>
        <v>844.40699999999993</v>
      </c>
    </row>
    <row r="419" spans="1:13" x14ac:dyDescent="0.3">
      <c r="A419" t="s">
        <v>476</v>
      </c>
      <c r="B419" s="1">
        <v>45964</v>
      </c>
      <c r="C419" t="s">
        <v>45</v>
      </c>
      <c r="D419" t="s">
        <v>46</v>
      </c>
      <c r="E419" t="s">
        <v>73</v>
      </c>
      <c r="F419" t="s">
        <v>74</v>
      </c>
      <c r="G419" t="s">
        <v>22</v>
      </c>
      <c r="H419" t="s">
        <v>31</v>
      </c>
      <c r="I419">
        <v>21</v>
      </c>
      <c r="J419">
        <v>286.72000000000003</v>
      </c>
      <c r="K419">
        <v>20</v>
      </c>
      <c r="L419">
        <v>4816.8999999999996</v>
      </c>
      <c r="M419">
        <f t="shared" si="6"/>
        <v>4816.8960000000006</v>
      </c>
    </row>
    <row r="420" spans="1:13" x14ac:dyDescent="0.3">
      <c r="A420" t="s">
        <v>477</v>
      </c>
      <c r="B420" s="1">
        <v>45685</v>
      </c>
      <c r="C420" t="s">
        <v>86</v>
      </c>
      <c r="D420" t="s">
        <v>14</v>
      </c>
      <c r="E420" t="s">
        <v>15</v>
      </c>
      <c r="F420" t="s">
        <v>16</v>
      </c>
      <c r="G420" t="s">
        <v>17</v>
      </c>
      <c r="H420" t="s">
        <v>26</v>
      </c>
      <c r="I420">
        <v>20</v>
      </c>
      <c r="J420">
        <v>71.06</v>
      </c>
      <c r="K420">
        <v>15</v>
      </c>
      <c r="L420">
        <v>1208.02</v>
      </c>
      <c r="M420">
        <f t="shared" si="6"/>
        <v>1208.02</v>
      </c>
    </row>
    <row r="421" spans="1:13" x14ac:dyDescent="0.3">
      <c r="A421" t="s">
        <v>478</v>
      </c>
      <c r="B421" s="1">
        <v>45819</v>
      </c>
      <c r="C421" t="s">
        <v>71</v>
      </c>
      <c r="D421" t="s">
        <v>64</v>
      </c>
      <c r="E421" t="s">
        <v>47</v>
      </c>
      <c r="F421" t="s">
        <v>48</v>
      </c>
      <c r="G421" t="s">
        <v>37</v>
      </c>
      <c r="H421" t="s">
        <v>26</v>
      </c>
      <c r="I421">
        <v>4</v>
      </c>
      <c r="J421">
        <v>154.57</v>
      </c>
      <c r="K421">
        <v>5</v>
      </c>
      <c r="L421">
        <v>587.37</v>
      </c>
      <c r="M421">
        <f t="shared" si="6"/>
        <v>587.36599999999999</v>
      </c>
    </row>
    <row r="422" spans="1:13" x14ac:dyDescent="0.3">
      <c r="A422" t="s">
        <v>479</v>
      </c>
      <c r="B422" s="1">
        <v>45867</v>
      </c>
      <c r="C422" t="s">
        <v>33</v>
      </c>
      <c r="D422" t="s">
        <v>14</v>
      </c>
      <c r="E422" t="s">
        <v>56</v>
      </c>
      <c r="F422" t="s">
        <v>48</v>
      </c>
      <c r="G422" t="s">
        <v>17</v>
      </c>
      <c r="H422" t="s">
        <v>26</v>
      </c>
      <c r="I422">
        <v>9</v>
      </c>
      <c r="J422">
        <v>123.22</v>
      </c>
      <c r="K422">
        <v>0</v>
      </c>
      <c r="L422">
        <v>1108.98</v>
      </c>
      <c r="M422">
        <f t="shared" si="6"/>
        <v>1108.98</v>
      </c>
    </row>
    <row r="423" spans="1:13" x14ac:dyDescent="0.3">
      <c r="A423" t="s">
        <v>480</v>
      </c>
      <c r="B423" s="1">
        <v>46019</v>
      </c>
      <c r="C423" t="s">
        <v>63</v>
      </c>
      <c r="D423" t="s">
        <v>64</v>
      </c>
      <c r="E423" t="s">
        <v>52</v>
      </c>
      <c r="F423" t="s">
        <v>53</v>
      </c>
      <c r="G423" t="s">
        <v>25</v>
      </c>
      <c r="H423" t="s">
        <v>31</v>
      </c>
      <c r="I423">
        <v>28</v>
      </c>
      <c r="J423">
        <v>259.83999999999997</v>
      </c>
      <c r="K423">
        <v>15</v>
      </c>
      <c r="L423">
        <v>6184.19</v>
      </c>
      <c r="M423">
        <f t="shared" si="6"/>
        <v>6184.1919999999991</v>
      </c>
    </row>
    <row r="424" spans="1:13" x14ac:dyDescent="0.3">
      <c r="A424" t="s">
        <v>481</v>
      </c>
      <c r="B424" s="1">
        <v>45894</v>
      </c>
      <c r="C424" t="s">
        <v>63</v>
      </c>
      <c r="D424" t="s">
        <v>64</v>
      </c>
      <c r="E424" t="s">
        <v>73</v>
      </c>
      <c r="F424" t="s">
        <v>74</v>
      </c>
      <c r="G424" t="s">
        <v>17</v>
      </c>
      <c r="H424" t="s">
        <v>26</v>
      </c>
      <c r="I424">
        <v>18</v>
      </c>
      <c r="J424">
        <v>286.86</v>
      </c>
      <c r="K424">
        <v>10</v>
      </c>
      <c r="L424">
        <v>4647.13</v>
      </c>
      <c r="M424">
        <f t="shared" si="6"/>
        <v>4647.1320000000005</v>
      </c>
    </row>
    <row r="425" spans="1:13" x14ac:dyDescent="0.3">
      <c r="A425" t="s">
        <v>482</v>
      </c>
      <c r="B425" s="1">
        <v>45847</v>
      </c>
      <c r="C425" t="s">
        <v>71</v>
      </c>
      <c r="D425" t="s">
        <v>64</v>
      </c>
      <c r="E425" t="s">
        <v>60</v>
      </c>
      <c r="F425" t="s">
        <v>61</v>
      </c>
      <c r="G425" t="s">
        <v>17</v>
      </c>
      <c r="H425" t="s">
        <v>26</v>
      </c>
      <c r="I425">
        <v>30</v>
      </c>
      <c r="J425">
        <v>135.16999999999999</v>
      </c>
      <c r="K425">
        <v>0</v>
      </c>
      <c r="L425">
        <v>4055.1</v>
      </c>
      <c r="M425">
        <f t="shared" si="6"/>
        <v>4055.0999999999995</v>
      </c>
    </row>
    <row r="426" spans="1:13" x14ac:dyDescent="0.3">
      <c r="A426" t="s">
        <v>483</v>
      </c>
      <c r="B426" s="1">
        <v>45849</v>
      </c>
      <c r="C426" t="s">
        <v>24</v>
      </c>
      <c r="D426" t="s">
        <v>14</v>
      </c>
      <c r="E426" t="s">
        <v>34</v>
      </c>
      <c r="F426" t="s">
        <v>35</v>
      </c>
      <c r="G426" t="s">
        <v>37</v>
      </c>
      <c r="H426" t="s">
        <v>26</v>
      </c>
      <c r="I426">
        <v>27</v>
      </c>
      <c r="J426">
        <v>64.52</v>
      </c>
      <c r="K426">
        <v>20</v>
      </c>
      <c r="L426">
        <v>1393.63</v>
      </c>
      <c r="M426">
        <f t="shared" si="6"/>
        <v>1393.6320000000001</v>
      </c>
    </row>
    <row r="427" spans="1:13" x14ac:dyDescent="0.3">
      <c r="A427" t="s">
        <v>484</v>
      </c>
      <c r="B427" s="1">
        <v>45962</v>
      </c>
      <c r="C427" t="s">
        <v>45</v>
      </c>
      <c r="D427" t="s">
        <v>46</v>
      </c>
      <c r="E427" t="s">
        <v>66</v>
      </c>
      <c r="F427" t="s">
        <v>67</v>
      </c>
      <c r="G427" t="s">
        <v>22</v>
      </c>
      <c r="H427" t="s">
        <v>31</v>
      </c>
      <c r="I427">
        <v>10</v>
      </c>
      <c r="J427">
        <v>284.02999999999997</v>
      </c>
      <c r="K427">
        <v>20</v>
      </c>
      <c r="L427">
        <v>2272.2399999999998</v>
      </c>
      <c r="M427">
        <f t="shared" si="6"/>
        <v>2272.2399999999998</v>
      </c>
    </row>
    <row r="428" spans="1:13" x14ac:dyDescent="0.3">
      <c r="A428" t="s">
        <v>485</v>
      </c>
      <c r="B428" s="1">
        <v>45696</v>
      </c>
      <c r="C428" t="s">
        <v>55</v>
      </c>
      <c r="D428" t="s">
        <v>14</v>
      </c>
      <c r="E428" t="s">
        <v>101</v>
      </c>
      <c r="F428" t="s">
        <v>16</v>
      </c>
      <c r="G428" t="s">
        <v>37</v>
      </c>
      <c r="H428" t="s">
        <v>26</v>
      </c>
      <c r="I428">
        <v>20</v>
      </c>
      <c r="J428">
        <v>193.68</v>
      </c>
      <c r="K428">
        <v>0</v>
      </c>
      <c r="L428">
        <v>3873.6</v>
      </c>
      <c r="M428">
        <f t="shared" si="6"/>
        <v>3873.6000000000004</v>
      </c>
    </row>
    <row r="429" spans="1:13" x14ac:dyDescent="0.3">
      <c r="A429" t="s">
        <v>486</v>
      </c>
      <c r="B429" s="1">
        <v>45658</v>
      </c>
      <c r="C429" t="s">
        <v>69</v>
      </c>
      <c r="D429" t="s">
        <v>46</v>
      </c>
      <c r="E429" t="s">
        <v>34</v>
      </c>
      <c r="F429" t="s">
        <v>35</v>
      </c>
      <c r="G429" t="s">
        <v>25</v>
      </c>
      <c r="H429" t="s">
        <v>18</v>
      </c>
      <c r="I429">
        <v>12</v>
      </c>
      <c r="J429">
        <v>287.14999999999998</v>
      </c>
      <c r="K429">
        <v>20</v>
      </c>
      <c r="L429">
        <v>2756.64</v>
      </c>
      <c r="M429">
        <f t="shared" si="6"/>
        <v>2756.64</v>
      </c>
    </row>
    <row r="430" spans="1:13" x14ac:dyDescent="0.3">
      <c r="A430" t="s">
        <v>487</v>
      </c>
      <c r="B430" s="1">
        <v>45897</v>
      </c>
      <c r="C430" t="s">
        <v>24</v>
      </c>
      <c r="D430" t="s">
        <v>14</v>
      </c>
      <c r="E430" t="s">
        <v>52</v>
      </c>
      <c r="F430" t="s">
        <v>53</v>
      </c>
      <c r="G430" t="s">
        <v>22</v>
      </c>
      <c r="H430" t="s">
        <v>26</v>
      </c>
      <c r="I430">
        <v>22</v>
      </c>
      <c r="J430">
        <v>61.86</v>
      </c>
      <c r="K430">
        <v>20</v>
      </c>
      <c r="L430">
        <v>1088.74</v>
      </c>
      <c r="M430">
        <f t="shared" si="6"/>
        <v>1088.7360000000001</v>
      </c>
    </row>
    <row r="431" spans="1:13" x14ac:dyDescent="0.3">
      <c r="A431" t="s">
        <v>488</v>
      </c>
      <c r="B431" s="1">
        <v>45831</v>
      </c>
      <c r="C431" t="s">
        <v>63</v>
      </c>
      <c r="D431" t="s">
        <v>64</v>
      </c>
      <c r="E431" t="s">
        <v>66</v>
      </c>
      <c r="F431" t="s">
        <v>67</v>
      </c>
      <c r="G431" t="s">
        <v>22</v>
      </c>
      <c r="H431" t="s">
        <v>31</v>
      </c>
      <c r="I431">
        <v>6</v>
      </c>
      <c r="J431">
        <v>252.09</v>
      </c>
      <c r="K431">
        <v>10</v>
      </c>
      <c r="L431">
        <v>1361.29</v>
      </c>
      <c r="M431">
        <f t="shared" si="6"/>
        <v>1361.2860000000001</v>
      </c>
    </row>
    <row r="432" spans="1:13" x14ac:dyDescent="0.3">
      <c r="A432" t="s">
        <v>489</v>
      </c>
      <c r="B432" s="1">
        <v>45981</v>
      </c>
      <c r="C432" t="s">
        <v>13</v>
      </c>
      <c r="D432" t="s">
        <v>14</v>
      </c>
      <c r="E432" t="s">
        <v>56</v>
      </c>
      <c r="F432" t="s">
        <v>48</v>
      </c>
      <c r="G432" t="s">
        <v>17</v>
      </c>
      <c r="H432" t="s">
        <v>18</v>
      </c>
      <c r="I432">
        <v>21</v>
      </c>
      <c r="J432">
        <v>57.05</v>
      </c>
      <c r="K432">
        <v>5</v>
      </c>
      <c r="L432">
        <v>1138.1500000000001</v>
      </c>
      <c r="M432">
        <f t="shared" si="6"/>
        <v>1138.1474999999998</v>
      </c>
    </row>
    <row r="433" spans="1:13" x14ac:dyDescent="0.3">
      <c r="A433" t="s">
        <v>490</v>
      </c>
      <c r="B433" s="1">
        <v>45741</v>
      </c>
      <c r="C433" t="s">
        <v>45</v>
      </c>
      <c r="D433" t="s">
        <v>46</v>
      </c>
      <c r="E433" t="s">
        <v>101</v>
      </c>
      <c r="F433" t="s">
        <v>16</v>
      </c>
      <c r="G433" t="s">
        <v>22</v>
      </c>
      <c r="H433" t="s">
        <v>31</v>
      </c>
      <c r="I433">
        <v>6</v>
      </c>
      <c r="J433">
        <v>268.02</v>
      </c>
      <c r="K433">
        <v>15</v>
      </c>
      <c r="L433">
        <v>1366.9</v>
      </c>
      <c r="M433">
        <f t="shared" si="6"/>
        <v>1366.9019999999998</v>
      </c>
    </row>
    <row r="434" spans="1:13" x14ac:dyDescent="0.3">
      <c r="A434" t="s">
        <v>491</v>
      </c>
      <c r="B434" s="1">
        <v>45942</v>
      </c>
      <c r="C434" t="s">
        <v>63</v>
      </c>
      <c r="D434" t="s">
        <v>64</v>
      </c>
      <c r="E434" t="s">
        <v>101</v>
      </c>
      <c r="F434" t="s">
        <v>16</v>
      </c>
      <c r="G434" t="s">
        <v>37</v>
      </c>
      <c r="H434" t="s">
        <v>31</v>
      </c>
      <c r="I434">
        <v>20</v>
      </c>
      <c r="J434">
        <v>271.87</v>
      </c>
      <c r="K434">
        <v>5</v>
      </c>
      <c r="L434">
        <v>5165.53</v>
      </c>
      <c r="M434">
        <f t="shared" si="6"/>
        <v>5165.53</v>
      </c>
    </row>
    <row r="435" spans="1:13" x14ac:dyDescent="0.3">
      <c r="A435" t="s">
        <v>492</v>
      </c>
      <c r="B435" s="1">
        <v>45708</v>
      </c>
      <c r="C435" t="s">
        <v>55</v>
      </c>
      <c r="D435" t="s">
        <v>14</v>
      </c>
      <c r="E435" t="s">
        <v>66</v>
      </c>
      <c r="F435" t="s">
        <v>67</v>
      </c>
      <c r="G435" t="s">
        <v>25</v>
      </c>
      <c r="H435" t="s">
        <v>18</v>
      </c>
      <c r="I435">
        <v>12</v>
      </c>
      <c r="J435">
        <v>183.55</v>
      </c>
      <c r="K435">
        <v>5</v>
      </c>
      <c r="L435">
        <v>2092.4699999999998</v>
      </c>
      <c r="M435">
        <f t="shared" si="6"/>
        <v>2092.4700000000003</v>
      </c>
    </row>
    <row r="436" spans="1:13" x14ac:dyDescent="0.3">
      <c r="A436" t="s">
        <v>493</v>
      </c>
      <c r="B436" s="1">
        <v>45774</v>
      </c>
      <c r="C436" t="s">
        <v>86</v>
      </c>
      <c r="D436" t="s">
        <v>14</v>
      </c>
      <c r="E436" t="s">
        <v>73</v>
      </c>
      <c r="F436" t="s">
        <v>74</v>
      </c>
      <c r="G436" t="s">
        <v>17</v>
      </c>
      <c r="H436" t="s">
        <v>18</v>
      </c>
      <c r="I436">
        <v>29</v>
      </c>
      <c r="J436">
        <v>70.08</v>
      </c>
      <c r="K436">
        <v>10</v>
      </c>
      <c r="L436">
        <v>1829.09</v>
      </c>
      <c r="M436">
        <f t="shared" si="6"/>
        <v>1829.088</v>
      </c>
    </row>
    <row r="437" spans="1:13" x14ac:dyDescent="0.3">
      <c r="A437" t="s">
        <v>494</v>
      </c>
      <c r="B437" s="1">
        <v>45925</v>
      </c>
      <c r="C437" t="s">
        <v>81</v>
      </c>
      <c r="D437" t="s">
        <v>64</v>
      </c>
      <c r="E437" t="s">
        <v>47</v>
      </c>
      <c r="F437" t="s">
        <v>48</v>
      </c>
      <c r="G437" t="s">
        <v>22</v>
      </c>
      <c r="H437" t="s">
        <v>31</v>
      </c>
      <c r="I437">
        <v>9</v>
      </c>
      <c r="J437">
        <v>127.68</v>
      </c>
      <c r="K437">
        <v>0</v>
      </c>
      <c r="L437">
        <v>1149.1199999999999</v>
      </c>
      <c r="M437">
        <f t="shared" si="6"/>
        <v>1149.1200000000001</v>
      </c>
    </row>
    <row r="438" spans="1:13" x14ac:dyDescent="0.3">
      <c r="A438" t="s">
        <v>495</v>
      </c>
      <c r="B438" s="1">
        <v>45870</v>
      </c>
      <c r="C438" t="s">
        <v>89</v>
      </c>
      <c r="D438" t="s">
        <v>64</v>
      </c>
      <c r="E438" t="s">
        <v>34</v>
      </c>
      <c r="F438" t="s">
        <v>35</v>
      </c>
      <c r="G438" t="s">
        <v>17</v>
      </c>
      <c r="H438" t="s">
        <v>18</v>
      </c>
      <c r="I438">
        <v>14</v>
      </c>
      <c r="J438">
        <v>107.79</v>
      </c>
      <c r="K438">
        <v>20</v>
      </c>
      <c r="L438">
        <v>1207.25</v>
      </c>
      <c r="M438">
        <f t="shared" si="6"/>
        <v>1207.2480000000003</v>
      </c>
    </row>
    <row r="439" spans="1:13" x14ac:dyDescent="0.3">
      <c r="A439" t="s">
        <v>496</v>
      </c>
      <c r="B439" s="1">
        <v>45951</v>
      </c>
      <c r="C439" t="s">
        <v>45</v>
      </c>
      <c r="D439" t="s">
        <v>46</v>
      </c>
      <c r="E439" t="s">
        <v>101</v>
      </c>
      <c r="F439" t="s">
        <v>16</v>
      </c>
      <c r="G439" t="s">
        <v>22</v>
      </c>
      <c r="H439" t="s">
        <v>18</v>
      </c>
      <c r="I439">
        <v>26</v>
      </c>
      <c r="J439">
        <v>303.29000000000002</v>
      </c>
      <c r="K439">
        <v>0</v>
      </c>
      <c r="L439">
        <v>7885.54</v>
      </c>
      <c r="M439">
        <f t="shared" si="6"/>
        <v>7885.5400000000009</v>
      </c>
    </row>
    <row r="440" spans="1:13" x14ac:dyDescent="0.3">
      <c r="A440" t="s">
        <v>497</v>
      </c>
      <c r="B440" s="1">
        <v>45730</v>
      </c>
      <c r="C440" t="s">
        <v>28</v>
      </c>
      <c r="D440" t="s">
        <v>14</v>
      </c>
      <c r="E440" t="s">
        <v>29</v>
      </c>
      <c r="F440" t="s">
        <v>30</v>
      </c>
      <c r="G440" t="s">
        <v>25</v>
      </c>
      <c r="H440" t="s">
        <v>18</v>
      </c>
      <c r="I440">
        <v>19</v>
      </c>
      <c r="J440">
        <v>205.96</v>
      </c>
      <c r="K440">
        <v>20</v>
      </c>
      <c r="L440">
        <v>3130.59</v>
      </c>
      <c r="M440">
        <f t="shared" si="6"/>
        <v>3130.5920000000006</v>
      </c>
    </row>
    <row r="441" spans="1:13" x14ac:dyDescent="0.3">
      <c r="A441" t="s">
        <v>498</v>
      </c>
      <c r="B441" s="1">
        <v>45852</v>
      </c>
      <c r="C441" t="s">
        <v>104</v>
      </c>
      <c r="D441" t="s">
        <v>14</v>
      </c>
      <c r="E441" t="s">
        <v>47</v>
      </c>
      <c r="F441" t="s">
        <v>48</v>
      </c>
      <c r="G441" t="s">
        <v>25</v>
      </c>
      <c r="H441" t="s">
        <v>31</v>
      </c>
      <c r="I441">
        <v>29</v>
      </c>
      <c r="J441">
        <v>207.96</v>
      </c>
      <c r="K441">
        <v>10</v>
      </c>
      <c r="L441">
        <v>5427.76</v>
      </c>
      <c r="M441">
        <f t="shared" si="6"/>
        <v>5427.7560000000003</v>
      </c>
    </row>
    <row r="442" spans="1:13" x14ac:dyDescent="0.3">
      <c r="A442" t="s">
        <v>499</v>
      </c>
      <c r="B442" s="1">
        <v>45970</v>
      </c>
      <c r="C442" t="s">
        <v>28</v>
      </c>
      <c r="D442" t="s">
        <v>14</v>
      </c>
      <c r="E442" t="s">
        <v>52</v>
      </c>
      <c r="F442" t="s">
        <v>53</v>
      </c>
      <c r="G442" t="s">
        <v>22</v>
      </c>
      <c r="H442" t="s">
        <v>26</v>
      </c>
      <c r="I442">
        <v>24</v>
      </c>
      <c r="J442">
        <v>202.39</v>
      </c>
      <c r="K442">
        <v>5</v>
      </c>
      <c r="L442">
        <v>4614.49</v>
      </c>
      <c r="M442">
        <f t="shared" si="6"/>
        <v>4614.4919999999993</v>
      </c>
    </row>
    <row r="443" spans="1:13" x14ac:dyDescent="0.3">
      <c r="A443" t="s">
        <v>500</v>
      </c>
      <c r="B443" s="1">
        <v>45664</v>
      </c>
      <c r="C443" t="s">
        <v>86</v>
      </c>
      <c r="D443" t="s">
        <v>14</v>
      </c>
      <c r="E443" t="s">
        <v>15</v>
      </c>
      <c r="F443" t="s">
        <v>16</v>
      </c>
      <c r="G443" t="s">
        <v>37</v>
      </c>
      <c r="H443" t="s">
        <v>26</v>
      </c>
      <c r="I443">
        <v>25</v>
      </c>
      <c r="J443">
        <v>73.12</v>
      </c>
      <c r="K443">
        <v>15</v>
      </c>
      <c r="L443">
        <v>1553.8</v>
      </c>
      <c r="M443">
        <f t="shared" si="6"/>
        <v>1553.8</v>
      </c>
    </row>
    <row r="444" spans="1:13" x14ac:dyDescent="0.3">
      <c r="A444" t="s">
        <v>501</v>
      </c>
      <c r="B444" s="1">
        <v>45814</v>
      </c>
      <c r="C444" t="s">
        <v>71</v>
      </c>
      <c r="D444" t="s">
        <v>64</v>
      </c>
      <c r="E444" t="s">
        <v>29</v>
      </c>
      <c r="F444" t="s">
        <v>30</v>
      </c>
      <c r="G444" t="s">
        <v>37</v>
      </c>
      <c r="H444" t="s">
        <v>26</v>
      </c>
      <c r="I444">
        <v>2</v>
      </c>
      <c r="J444">
        <v>163.4</v>
      </c>
      <c r="K444">
        <v>10</v>
      </c>
      <c r="L444">
        <v>294.12</v>
      </c>
      <c r="M444">
        <f t="shared" si="6"/>
        <v>294.12</v>
      </c>
    </row>
    <row r="445" spans="1:13" x14ac:dyDescent="0.3">
      <c r="A445" t="s">
        <v>502</v>
      </c>
      <c r="B445" s="1">
        <v>45783</v>
      </c>
      <c r="C445" t="s">
        <v>20</v>
      </c>
      <c r="D445" t="s">
        <v>14</v>
      </c>
      <c r="E445" t="s">
        <v>52</v>
      </c>
      <c r="F445" t="s">
        <v>53</v>
      </c>
      <c r="G445" t="s">
        <v>25</v>
      </c>
      <c r="H445" t="s">
        <v>18</v>
      </c>
      <c r="I445">
        <v>12</v>
      </c>
      <c r="J445">
        <v>141.69</v>
      </c>
      <c r="K445">
        <v>10</v>
      </c>
      <c r="L445">
        <v>1530.25</v>
      </c>
      <c r="M445">
        <f t="shared" si="6"/>
        <v>1530.252</v>
      </c>
    </row>
    <row r="446" spans="1:13" x14ac:dyDescent="0.3">
      <c r="A446" t="s">
        <v>503</v>
      </c>
      <c r="B446" s="1">
        <v>45861</v>
      </c>
      <c r="C446" t="s">
        <v>33</v>
      </c>
      <c r="D446" t="s">
        <v>14</v>
      </c>
      <c r="E446" t="s">
        <v>101</v>
      </c>
      <c r="F446" t="s">
        <v>16</v>
      </c>
      <c r="G446" t="s">
        <v>17</v>
      </c>
      <c r="H446" t="s">
        <v>31</v>
      </c>
      <c r="I446">
        <v>6</v>
      </c>
      <c r="J446">
        <v>120.75</v>
      </c>
      <c r="K446">
        <v>15</v>
      </c>
      <c r="L446">
        <v>615.82000000000005</v>
      </c>
      <c r="M446">
        <f t="shared" si="6"/>
        <v>615.82499999999993</v>
      </c>
    </row>
    <row r="447" spans="1:13" x14ac:dyDescent="0.3">
      <c r="A447" t="s">
        <v>504</v>
      </c>
      <c r="B447" s="1">
        <v>45724</v>
      </c>
      <c r="C447" t="s">
        <v>86</v>
      </c>
      <c r="D447" t="s">
        <v>14</v>
      </c>
      <c r="E447" t="s">
        <v>101</v>
      </c>
      <c r="F447" t="s">
        <v>16</v>
      </c>
      <c r="G447" t="s">
        <v>22</v>
      </c>
      <c r="H447" t="s">
        <v>26</v>
      </c>
      <c r="I447">
        <v>14</v>
      </c>
      <c r="J447">
        <v>82.08</v>
      </c>
      <c r="K447">
        <v>10</v>
      </c>
      <c r="L447">
        <v>1034.21</v>
      </c>
      <c r="M447">
        <f t="shared" si="6"/>
        <v>1034.2079999999999</v>
      </c>
    </row>
    <row r="448" spans="1:13" x14ac:dyDescent="0.3">
      <c r="A448" t="s">
        <v>505</v>
      </c>
      <c r="B448" s="1">
        <v>45891</v>
      </c>
      <c r="C448" t="s">
        <v>33</v>
      </c>
      <c r="D448" t="s">
        <v>14</v>
      </c>
      <c r="E448" t="s">
        <v>15</v>
      </c>
      <c r="F448" t="s">
        <v>16</v>
      </c>
      <c r="G448" t="s">
        <v>25</v>
      </c>
      <c r="H448" t="s">
        <v>18</v>
      </c>
      <c r="I448">
        <v>15</v>
      </c>
      <c r="J448">
        <v>108.74</v>
      </c>
      <c r="K448">
        <v>10</v>
      </c>
      <c r="L448">
        <v>1467.99</v>
      </c>
      <c r="M448">
        <f t="shared" si="6"/>
        <v>1467.99</v>
      </c>
    </row>
    <row r="449" spans="1:13" x14ac:dyDescent="0.3">
      <c r="A449" t="s">
        <v>506</v>
      </c>
      <c r="B449" s="1">
        <v>45779</v>
      </c>
      <c r="C449" t="s">
        <v>89</v>
      </c>
      <c r="D449" t="s">
        <v>64</v>
      </c>
      <c r="E449" t="s">
        <v>39</v>
      </c>
      <c r="F449" t="s">
        <v>39</v>
      </c>
      <c r="G449" t="s">
        <v>25</v>
      </c>
      <c r="H449" t="s">
        <v>18</v>
      </c>
      <c r="I449">
        <v>30</v>
      </c>
      <c r="J449">
        <v>109.09</v>
      </c>
      <c r="K449">
        <v>5</v>
      </c>
      <c r="L449">
        <v>3109.06</v>
      </c>
      <c r="M449">
        <f t="shared" si="6"/>
        <v>3109.0650000000001</v>
      </c>
    </row>
    <row r="450" spans="1:13" x14ac:dyDescent="0.3">
      <c r="A450" t="s">
        <v>507</v>
      </c>
      <c r="B450" s="1">
        <v>45931</v>
      </c>
      <c r="C450" t="s">
        <v>69</v>
      </c>
      <c r="D450" t="s">
        <v>46</v>
      </c>
      <c r="E450" t="s">
        <v>29</v>
      </c>
      <c r="F450" t="s">
        <v>30</v>
      </c>
      <c r="G450" t="s">
        <v>25</v>
      </c>
      <c r="H450" t="s">
        <v>26</v>
      </c>
      <c r="I450">
        <v>4</v>
      </c>
      <c r="J450">
        <v>334.08</v>
      </c>
      <c r="K450">
        <v>15</v>
      </c>
      <c r="L450">
        <v>1135.8699999999999</v>
      </c>
      <c r="M450">
        <f t="shared" ref="M450:M501" si="7">I450*J450*(1-K450/100)</f>
        <v>1135.8719999999998</v>
      </c>
    </row>
    <row r="451" spans="1:13" x14ac:dyDescent="0.3">
      <c r="A451" t="s">
        <v>508</v>
      </c>
      <c r="B451" s="1">
        <v>45766</v>
      </c>
      <c r="C451" t="s">
        <v>28</v>
      </c>
      <c r="D451" t="s">
        <v>14</v>
      </c>
      <c r="E451" t="s">
        <v>73</v>
      </c>
      <c r="F451" t="s">
        <v>74</v>
      </c>
      <c r="G451" t="s">
        <v>17</v>
      </c>
      <c r="H451" t="s">
        <v>26</v>
      </c>
      <c r="I451">
        <v>14</v>
      </c>
      <c r="J451">
        <v>214.49</v>
      </c>
      <c r="K451">
        <v>15</v>
      </c>
      <c r="L451">
        <v>2552.4299999999998</v>
      </c>
      <c r="M451">
        <f t="shared" si="7"/>
        <v>2552.431</v>
      </c>
    </row>
    <row r="452" spans="1:13" x14ac:dyDescent="0.3">
      <c r="A452" t="s">
        <v>509</v>
      </c>
      <c r="B452" s="1">
        <v>45819</v>
      </c>
      <c r="C452" t="s">
        <v>79</v>
      </c>
      <c r="D452" t="s">
        <v>43</v>
      </c>
      <c r="E452" t="s">
        <v>47</v>
      </c>
      <c r="F452" t="s">
        <v>48</v>
      </c>
      <c r="G452" t="s">
        <v>37</v>
      </c>
      <c r="H452" t="s">
        <v>26</v>
      </c>
      <c r="I452">
        <v>6</v>
      </c>
      <c r="J452">
        <v>238.94</v>
      </c>
      <c r="K452">
        <v>20</v>
      </c>
      <c r="L452">
        <v>1146.9100000000001</v>
      </c>
      <c r="M452">
        <f t="shared" si="7"/>
        <v>1146.912</v>
      </c>
    </row>
    <row r="453" spans="1:13" x14ac:dyDescent="0.3">
      <c r="A453" t="s">
        <v>510</v>
      </c>
      <c r="B453" s="1">
        <v>46011</v>
      </c>
      <c r="C453" t="s">
        <v>69</v>
      </c>
      <c r="D453" t="s">
        <v>46</v>
      </c>
      <c r="E453" t="s">
        <v>47</v>
      </c>
      <c r="F453" t="s">
        <v>48</v>
      </c>
      <c r="G453" t="s">
        <v>17</v>
      </c>
      <c r="H453" t="s">
        <v>18</v>
      </c>
      <c r="I453">
        <v>24</v>
      </c>
      <c r="J453">
        <v>306.31</v>
      </c>
      <c r="K453">
        <v>5</v>
      </c>
      <c r="L453">
        <v>6983.87</v>
      </c>
      <c r="M453">
        <f t="shared" si="7"/>
        <v>6983.8680000000004</v>
      </c>
    </row>
    <row r="454" spans="1:13" x14ac:dyDescent="0.3">
      <c r="A454" t="s">
        <v>511</v>
      </c>
      <c r="B454" s="1">
        <v>45678</v>
      </c>
      <c r="C454" t="s">
        <v>79</v>
      </c>
      <c r="D454" t="s">
        <v>43</v>
      </c>
      <c r="E454" t="s">
        <v>21</v>
      </c>
      <c r="F454" t="s">
        <v>16</v>
      </c>
      <c r="G454" t="s">
        <v>25</v>
      </c>
      <c r="H454" t="s">
        <v>26</v>
      </c>
      <c r="I454">
        <v>22</v>
      </c>
      <c r="J454">
        <v>232.44</v>
      </c>
      <c r="K454">
        <v>15</v>
      </c>
      <c r="L454">
        <v>4346.63</v>
      </c>
      <c r="M454">
        <f t="shared" si="7"/>
        <v>4346.6279999999997</v>
      </c>
    </row>
    <row r="455" spans="1:13" x14ac:dyDescent="0.3">
      <c r="A455" t="s">
        <v>512</v>
      </c>
      <c r="B455" s="1">
        <v>45768</v>
      </c>
      <c r="C455" t="s">
        <v>28</v>
      </c>
      <c r="D455" t="s">
        <v>14</v>
      </c>
      <c r="E455" t="s">
        <v>34</v>
      </c>
      <c r="F455" t="s">
        <v>35</v>
      </c>
      <c r="G455" t="s">
        <v>22</v>
      </c>
      <c r="H455" t="s">
        <v>18</v>
      </c>
      <c r="I455">
        <v>2</v>
      </c>
      <c r="J455">
        <v>213.38</v>
      </c>
      <c r="K455">
        <v>20</v>
      </c>
      <c r="L455">
        <v>341.41</v>
      </c>
      <c r="M455">
        <f t="shared" si="7"/>
        <v>341.40800000000002</v>
      </c>
    </row>
    <row r="456" spans="1:13" x14ac:dyDescent="0.3">
      <c r="A456" t="s">
        <v>513</v>
      </c>
      <c r="B456" s="1">
        <v>45995</v>
      </c>
      <c r="C456" t="s">
        <v>81</v>
      </c>
      <c r="D456" t="s">
        <v>64</v>
      </c>
      <c r="E456" t="s">
        <v>34</v>
      </c>
      <c r="F456" t="s">
        <v>35</v>
      </c>
      <c r="G456" t="s">
        <v>37</v>
      </c>
      <c r="H456" t="s">
        <v>18</v>
      </c>
      <c r="I456">
        <v>30</v>
      </c>
      <c r="J456">
        <v>131.85</v>
      </c>
      <c r="K456">
        <v>15</v>
      </c>
      <c r="L456">
        <v>3362.18</v>
      </c>
      <c r="M456">
        <f t="shared" si="7"/>
        <v>3362.1749999999997</v>
      </c>
    </row>
    <row r="457" spans="1:13" x14ac:dyDescent="0.3">
      <c r="A457" t="s">
        <v>514</v>
      </c>
      <c r="B457" s="1">
        <v>45665</v>
      </c>
      <c r="C457" t="s">
        <v>24</v>
      </c>
      <c r="D457" t="s">
        <v>14</v>
      </c>
      <c r="E457" t="s">
        <v>47</v>
      </c>
      <c r="F457" t="s">
        <v>48</v>
      </c>
      <c r="G457" t="s">
        <v>17</v>
      </c>
      <c r="H457" t="s">
        <v>31</v>
      </c>
      <c r="I457">
        <v>20</v>
      </c>
      <c r="J457">
        <v>61.12</v>
      </c>
      <c r="K457">
        <v>20</v>
      </c>
      <c r="L457">
        <v>977.92</v>
      </c>
      <c r="M457">
        <f t="shared" si="7"/>
        <v>977.92</v>
      </c>
    </row>
    <row r="458" spans="1:13" x14ac:dyDescent="0.3">
      <c r="A458" t="s">
        <v>515</v>
      </c>
      <c r="B458" s="1">
        <v>45774</v>
      </c>
      <c r="C458" t="s">
        <v>28</v>
      </c>
      <c r="D458" t="s">
        <v>14</v>
      </c>
      <c r="E458" t="s">
        <v>29</v>
      </c>
      <c r="F458" t="s">
        <v>30</v>
      </c>
      <c r="G458" t="s">
        <v>17</v>
      </c>
      <c r="H458" t="s">
        <v>26</v>
      </c>
      <c r="I458">
        <v>5</v>
      </c>
      <c r="J458">
        <v>227.09</v>
      </c>
      <c r="K458">
        <v>10</v>
      </c>
      <c r="L458">
        <v>1021.91</v>
      </c>
      <c r="M458">
        <f t="shared" si="7"/>
        <v>1021.9050000000001</v>
      </c>
    </row>
    <row r="459" spans="1:13" x14ac:dyDescent="0.3">
      <c r="A459" t="s">
        <v>516</v>
      </c>
      <c r="B459" s="1">
        <v>45903</v>
      </c>
      <c r="C459" t="s">
        <v>81</v>
      </c>
      <c r="D459" t="s">
        <v>64</v>
      </c>
      <c r="E459" t="s">
        <v>34</v>
      </c>
      <c r="F459" t="s">
        <v>35</v>
      </c>
      <c r="G459" t="s">
        <v>25</v>
      </c>
      <c r="H459" t="s">
        <v>26</v>
      </c>
      <c r="I459">
        <v>16</v>
      </c>
      <c r="J459">
        <v>128.88</v>
      </c>
      <c r="K459">
        <v>20</v>
      </c>
      <c r="L459">
        <v>1649.66</v>
      </c>
      <c r="M459">
        <f t="shared" si="7"/>
        <v>1649.664</v>
      </c>
    </row>
    <row r="460" spans="1:13" x14ac:dyDescent="0.3">
      <c r="A460" t="s">
        <v>517</v>
      </c>
      <c r="B460" s="1">
        <v>45703</v>
      </c>
      <c r="C460" t="s">
        <v>33</v>
      </c>
      <c r="D460" t="s">
        <v>14</v>
      </c>
      <c r="E460" t="s">
        <v>56</v>
      </c>
      <c r="F460" t="s">
        <v>48</v>
      </c>
      <c r="G460" t="s">
        <v>37</v>
      </c>
      <c r="H460" t="s">
        <v>26</v>
      </c>
      <c r="I460">
        <v>18</v>
      </c>
      <c r="J460">
        <v>124.34</v>
      </c>
      <c r="K460">
        <v>0</v>
      </c>
      <c r="L460">
        <v>2238.12</v>
      </c>
      <c r="M460">
        <f t="shared" si="7"/>
        <v>2238.12</v>
      </c>
    </row>
    <row r="461" spans="1:13" x14ac:dyDescent="0.3">
      <c r="A461" t="s">
        <v>518</v>
      </c>
      <c r="B461" s="1">
        <v>45893</v>
      </c>
      <c r="C461" t="s">
        <v>20</v>
      </c>
      <c r="D461" t="s">
        <v>14</v>
      </c>
      <c r="E461" t="s">
        <v>52</v>
      </c>
      <c r="F461" t="s">
        <v>53</v>
      </c>
      <c r="G461" t="s">
        <v>25</v>
      </c>
      <c r="H461" t="s">
        <v>26</v>
      </c>
      <c r="I461">
        <v>20</v>
      </c>
      <c r="J461">
        <v>143.91999999999999</v>
      </c>
      <c r="K461">
        <v>15</v>
      </c>
      <c r="L461">
        <v>2446.64</v>
      </c>
      <c r="M461">
        <f t="shared" si="7"/>
        <v>2446.6399999999994</v>
      </c>
    </row>
    <row r="462" spans="1:13" x14ac:dyDescent="0.3">
      <c r="A462" t="s">
        <v>519</v>
      </c>
      <c r="B462" s="1">
        <v>45873</v>
      </c>
      <c r="C462" t="s">
        <v>71</v>
      </c>
      <c r="D462" t="s">
        <v>64</v>
      </c>
      <c r="E462" t="s">
        <v>47</v>
      </c>
      <c r="F462" t="s">
        <v>48</v>
      </c>
      <c r="G462" t="s">
        <v>22</v>
      </c>
      <c r="H462" t="s">
        <v>18</v>
      </c>
      <c r="I462">
        <v>27</v>
      </c>
      <c r="J462">
        <v>149.74</v>
      </c>
      <c r="K462">
        <v>10</v>
      </c>
      <c r="L462">
        <v>3638.68</v>
      </c>
      <c r="M462">
        <f t="shared" si="7"/>
        <v>3638.6820000000007</v>
      </c>
    </row>
    <row r="463" spans="1:13" x14ac:dyDescent="0.3">
      <c r="A463" t="s">
        <v>520</v>
      </c>
      <c r="B463" s="1">
        <v>45876</v>
      </c>
      <c r="C463" t="s">
        <v>13</v>
      </c>
      <c r="D463" t="s">
        <v>14</v>
      </c>
      <c r="E463" t="s">
        <v>34</v>
      </c>
      <c r="F463" t="s">
        <v>35</v>
      </c>
      <c r="G463" t="s">
        <v>22</v>
      </c>
      <c r="H463" t="s">
        <v>26</v>
      </c>
      <c r="I463">
        <v>20</v>
      </c>
      <c r="J463">
        <v>55.85</v>
      </c>
      <c r="K463">
        <v>10</v>
      </c>
      <c r="L463">
        <v>1005.3</v>
      </c>
      <c r="M463">
        <f t="shared" si="7"/>
        <v>1005.3000000000001</v>
      </c>
    </row>
    <row r="464" spans="1:13" x14ac:dyDescent="0.3">
      <c r="A464" t="s">
        <v>521</v>
      </c>
      <c r="B464" s="1">
        <v>45820</v>
      </c>
      <c r="C464" t="s">
        <v>81</v>
      </c>
      <c r="D464" t="s">
        <v>64</v>
      </c>
      <c r="E464" t="s">
        <v>52</v>
      </c>
      <c r="F464" t="s">
        <v>53</v>
      </c>
      <c r="G464" t="s">
        <v>22</v>
      </c>
      <c r="H464" t="s">
        <v>18</v>
      </c>
      <c r="I464">
        <v>16</v>
      </c>
      <c r="J464">
        <v>121.76</v>
      </c>
      <c r="K464">
        <v>20</v>
      </c>
      <c r="L464">
        <v>1558.53</v>
      </c>
      <c r="M464">
        <f t="shared" si="7"/>
        <v>1558.5280000000002</v>
      </c>
    </row>
    <row r="465" spans="1:13" x14ac:dyDescent="0.3">
      <c r="A465" t="s">
        <v>522</v>
      </c>
      <c r="B465" s="1">
        <v>46009</v>
      </c>
      <c r="C465" t="s">
        <v>79</v>
      </c>
      <c r="D465" t="s">
        <v>43</v>
      </c>
      <c r="E465" t="s">
        <v>73</v>
      </c>
      <c r="F465" t="s">
        <v>74</v>
      </c>
      <c r="G465" t="s">
        <v>37</v>
      </c>
      <c r="H465" t="s">
        <v>26</v>
      </c>
      <c r="I465">
        <v>18</v>
      </c>
      <c r="J465">
        <v>246.73</v>
      </c>
      <c r="K465">
        <v>0</v>
      </c>
      <c r="L465">
        <v>4441.1400000000003</v>
      </c>
      <c r="M465">
        <f t="shared" si="7"/>
        <v>4441.1399999999994</v>
      </c>
    </row>
    <row r="466" spans="1:13" x14ac:dyDescent="0.3">
      <c r="A466" t="s">
        <v>523</v>
      </c>
      <c r="B466" s="1">
        <v>45846</v>
      </c>
      <c r="C466" t="s">
        <v>24</v>
      </c>
      <c r="D466" t="s">
        <v>14</v>
      </c>
      <c r="E466" t="s">
        <v>21</v>
      </c>
      <c r="F466" t="s">
        <v>16</v>
      </c>
      <c r="G466" t="s">
        <v>22</v>
      </c>
      <c r="H466" t="s">
        <v>31</v>
      </c>
      <c r="I466">
        <v>4</v>
      </c>
      <c r="J466">
        <v>64.33</v>
      </c>
      <c r="K466">
        <v>20</v>
      </c>
      <c r="L466">
        <v>205.86</v>
      </c>
      <c r="M466">
        <f t="shared" si="7"/>
        <v>205.85599999999999</v>
      </c>
    </row>
    <row r="467" spans="1:13" x14ac:dyDescent="0.3">
      <c r="A467" t="s">
        <v>524</v>
      </c>
      <c r="B467" s="1">
        <v>45980</v>
      </c>
      <c r="C467" t="s">
        <v>42</v>
      </c>
      <c r="D467" t="s">
        <v>43</v>
      </c>
      <c r="E467" t="s">
        <v>56</v>
      </c>
      <c r="F467" t="s">
        <v>48</v>
      </c>
      <c r="G467" t="s">
        <v>37</v>
      </c>
      <c r="H467" t="s">
        <v>31</v>
      </c>
      <c r="I467">
        <v>23</v>
      </c>
      <c r="J467">
        <v>155.63</v>
      </c>
      <c r="K467">
        <v>10</v>
      </c>
      <c r="L467">
        <v>3221.54</v>
      </c>
      <c r="M467">
        <f t="shared" si="7"/>
        <v>3221.5409999999997</v>
      </c>
    </row>
    <row r="468" spans="1:13" x14ac:dyDescent="0.3">
      <c r="A468" t="s">
        <v>525</v>
      </c>
      <c r="B468" s="1">
        <v>45826</v>
      </c>
      <c r="C468" t="s">
        <v>86</v>
      </c>
      <c r="D468" t="s">
        <v>14</v>
      </c>
      <c r="E468" t="s">
        <v>66</v>
      </c>
      <c r="F468" t="s">
        <v>67</v>
      </c>
      <c r="G468" t="s">
        <v>25</v>
      </c>
      <c r="H468" t="s">
        <v>31</v>
      </c>
      <c r="I468">
        <v>22</v>
      </c>
      <c r="J468">
        <v>72.88</v>
      </c>
      <c r="K468">
        <v>5</v>
      </c>
      <c r="L468">
        <v>1523.19</v>
      </c>
      <c r="M468">
        <f t="shared" si="7"/>
        <v>1523.1919999999998</v>
      </c>
    </row>
    <row r="469" spans="1:13" x14ac:dyDescent="0.3">
      <c r="A469" t="s">
        <v>526</v>
      </c>
      <c r="B469" s="1">
        <v>45676</v>
      </c>
      <c r="C469" t="s">
        <v>24</v>
      </c>
      <c r="D469" t="s">
        <v>14</v>
      </c>
      <c r="E469" t="s">
        <v>21</v>
      </c>
      <c r="F469" t="s">
        <v>16</v>
      </c>
      <c r="G469" t="s">
        <v>37</v>
      </c>
      <c r="H469" t="s">
        <v>31</v>
      </c>
      <c r="I469">
        <v>26</v>
      </c>
      <c r="J469">
        <v>68.81</v>
      </c>
      <c r="K469">
        <v>10</v>
      </c>
      <c r="L469">
        <v>1610.15</v>
      </c>
      <c r="M469">
        <f t="shared" si="7"/>
        <v>1610.154</v>
      </c>
    </row>
    <row r="470" spans="1:13" x14ac:dyDescent="0.3">
      <c r="A470" t="s">
        <v>527</v>
      </c>
      <c r="B470" s="1">
        <v>45722</v>
      </c>
      <c r="C470" t="s">
        <v>81</v>
      </c>
      <c r="D470" t="s">
        <v>64</v>
      </c>
      <c r="E470" t="s">
        <v>60</v>
      </c>
      <c r="F470" t="s">
        <v>61</v>
      </c>
      <c r="G470" t="s">
        <v>25</v>
      </c>
      <c r="H470" t="s">
        <v>26</v>
      </c>
      <c r="I470">
        <v>9</v>
      </c>
      <c r="J470">
        <v>115.07</v>
      </c>
      <c r="K470">
        <v>10</v>
      </c>
      <c r="L470">
        <v>932.07</v>
      </c>
      <c r="M470">
        <f t="shared" si="7"/>
        <v>932.06699999999989</v>
      </c>
    </row>
    <row r="471" spans="1:13" x14ac:dyDescent="0.3">
      <c r="A471" t="s">
        <v>528</v>
      </c>
      <c r="B471" s="1">
        <v>45845</v>
      </c>
      <c r="C471" t="s">
        <v>71</v>
      </c>
      <c r="D471" t="s">
        <v>64</v>
      </c>
      <c r="E471" t="s">
        <v>73</v>
      </c>
      <c r="F471" t="s">
        <v>74</v>
      </c>
      <c r="G471" t="s">
        <v>17</v>
      </c>
      <c r="H471" t="s">
        <v>26</v>
      </c>
      <c r="I471">
        <v>16</v>
      </c>
      <c r="J471">
        <v>139.29</v>
      </c>
      <c r="K471">
        <v>20</v>
      </c>
      <c r="L471">
        <v>1782.91</v>
      </c>
      <c r="M471">
        <f t="shared" si="7"/>
        <v>1782.912</v>
      </c>
    </row>
    <row r="472" spans="1:13" x14ac:dyDescent="0.3">
      <c r="A472" t="s">
        <v>529</v>
      </c>
      <c r="B472" s="1">
        <v>45947</v>
      </c>
      <c r="C472" t="s">
        <v>79</v>
      </c>
      <c r="D472" t="s">
        <v>43</v>
      </c>
      <c r="E472" t="s">
        <v>73</v>
      </c>
      <c r="F472" t="s">
        <v>74</v>
      </c>
      <c r="G472" t="s">
        <v>22</v>
      </c>
      <c r="H472" t="s">
        <v>26</v>
      </c>
      <c r="I472">
        <v>5</v>
      </c>
      <c r="J472">
        <v>249.6</v>
      </c>
      <c r="K472">
        <v>0</v>
      </c>
      <c r="L472">
        <v>1248</v>
      </c>
      <c r="M472">
        <f t="shared" si="7"/>
        <v>1248</v>
      </c>
    </row>
    <row r="473" spans="1:13" x14ac:dyDescent="0.3">
      <c r="A473" t="s">
        <v>530</v>
      </c>
      <c r="B473" s="1">
        <v>45845</v>
      </c>
      <c r="C473" t="s">
        <v>45</v>
      </c>
      <c r="D473" t="s">
        <v>46</v>
      </c>
      <c r="E473" t="s">
        <v>15</v>
      </c>
      <c r="F473" t="s">
        <v>16</v>
      </c>
      <c r="G473" t="s">
        <v>25</v>
      </c>
      <c r="H473" t="s">
        <v>18</v>
      </c>
      <c r="I473">
        <v>7</v>
      </c>
      <c r="J473">
        <v>278.76</v>
      </c>
      <c r="K473">
        <v>10</v>
      </c>
      <c r="L473">
        <v>1756.19</v>
      </c>
      <c r="M473">
        <f t="shared" si="7"/>
        <v>1756.1879999999999</v>
      </c>
    </row>
    <row r="474" spans="1:13" x14ac:dyDescent="0.3">
      <c r="A474" t="s">
        <v>531</v>
      </c>
      <c r="B474" s="1">
        <v>45802</v>
      </c>
      <c r="C474" t="s">
        <v>69</v>
      </c>
      <c r="D474" t="s">
        <v>46</v>
      </c>
      <c r="E474" t="s">
        <v>39</v>
      </c>
      <c r="F474" t="s">
        <v>39</v>
      </c>
      <c r="G474" t="s">
        <v>17</v>
      </c>
      <c r="H474" t="s">
        <v>26</v>
      </c>
      <c r="I474">
        <v>20</v>
      </c>
      <c r="J474">
        <v>311.39999999999998</v>
      </c>
      <c r="K474">
        <v>5</v>
      </c>
      <c r="L474">
        <v>5916.6</v>
      </c>
      <c r="M474">
        <f t="shared" si="7"/>
        <v>5916.5999999999995</v>
      </c>
    </row>
    <row r="475" spans="1:13" x14ac:dyDescent="0.3">
      <c r="A475" t="s">
        <v>532</v>
      </c>
      <c r="B475" s="1">
        <v>45670</v>
      </c>
      <c r="C475" t="s">
        <v>13</v>
      </c>
      <c r="D475" t="s">
        <v>14</v>
      </c>
      <c r="E475" t="s">
        <v>39</v>
      </c>
      <c r="F475" t="s">
        <v>39</v>
      </c>
      <c r="G475" t="s">
        <v>25</v>
      </c>
      <c r="H475" t="s">
        <v>31</v>
      </c>
      <c r="I475">
        <v>29</v>
      </c>
      <c r="J475">
        <v>51.1</v>
      </c>
      <c r="K475">
        <v>5</v>
      </c>
      <c r="L475">
        <v>1407.8</v>
      </c>
      <c r="M475">
        <f t="shared" si="7"/>
        <v>1407.8050000000001</v>
      </c>
    </row>
    <row r="476" spans="1:13" x14ac:dyDescent="0.3">
      <c r="A476" t="s">
        <v>533</v>
      </c>
      <c r="B476" s="1">
        <v>45775</v>
      </c>
      <c r="C476" t="s">
        <v>24</v>
      </c>
      <c r="D476" t="s">
        <v>14</v>
      </c>
      <c r="E476" t="s">
        <v>52</v>
      </c>
      <c r="F476" t="s">
        <v>53</v>
      </c>
      <c r="G476" t="s">
        <v>25</v>
      </c>
      <c r="H476" t="s">
        <v>18</v>
      </c>
      <c r="I476">
        <v>4</v>
      </c>
      <c r="J476">
        <v>68.95</v>
      </c>
      <c r="K476">
        <v>10</v>
      </c>
      <c r="L476">
        <v>248.22</v>
      </c>
      <c r="M476">
        <f t="shared" si="7"/>
        <v>248.22000000000003</v>
      </c>
    </row>
    <row r="477" spans="1:13" x14ac:dyDescent="0.3">
      <c r="A477" t="s">
        <v>534</v>
      </c>
      <c r="B477" s="1">
        <v>45926</v>
      </c>
      <c r="C477" t="s">
        <v>69</v>
      </c>
      <c r="D477" t="s">
        <v>46</v>
      </c>
      <c r="E477" t="s">
        <v>56</v>
      </c>
      <c r="F477" t="s">
        <v>48</v>
      </c>
      <c r="G477" t="s">
        <v>17</v>
      </c>
      <c r="H477" t="s">
        <v>18</v>
      </c>
      <c r="I477">
        <v>2</v>
      </c>
      <c r="J477">
        <v>313.04000000000002</v>
      </c>
      <c r="K477">
        <v>20</v>
      </c>
      <c r="L477">
        <v>500.86</v>
      </c>
      <c r="M477">
        <f t="shared" si="7"/>
        <v>500.86400000000003</v>
      </c>
    </row>
    <row r="478" spans="1:13" x14ac:dyDescent="0.3">
      <c r="A478" t="s">
        <v>535</v>
      </c>
      <c r="B478" s="1">
        <v>45840</v>
      </c>
      <c r="C478" t="s">
        <v>104</v>
      </c>
      <c r="D478" t="s">
        <v>14</v>
      </c>
      <c r="E478" t="s">
        <v>21</v>
      </c>
      <c r="F478" t="s">
        <v>16</v>
      </c>
      <c r="G478" t="s">
        <v>17</v>
      </c>
      <c r="H478" t="s">
        <v>18</v>
      </c>
      <c r="I478">
        <v>26</v>
      </c>
      <c r="J478">
        <v>231.42</v>
      </c>
      <c r="K478">
        <v>0</v>
      </c>
      <c r="L478">
        <v>6016.92</v>
      </c>
      <c r="M478">
        <f t="shared" si="7"/>
        <v>6016.92</v>
      </c>
    </row>
    <row r="479" spans="1:13" x14ac:dyDescent="0.3">
      <c r="A479" t="s">
        <v>536</v>
      </c>
      <c r="B479" s="1">
        <v>45671</v>
      </c>
      <c r="C479" t="s">
        <v>13</v>
      </c>
      <c r="D479" t="s">
        <v>14</v>
      </c>
      <c r="E479" t="s">
        <v>66</v>
      </c>
      <c r="F479" t="s">
        <v>67</v>
      </c>
      <c r="G479" t="s">
        <v>25</v>
      </c>
      <c r="H479" t="s">
        <v>31</v>
      </c>
      <c r="I479">
        <v>21</v>
      </c>
      <c r="J479">
        <v>56.51</v>
      </c>
      <c r="K479">
        <v>5</v>
      </c>
      <c r="L479">
        <v>1127.3699999999999</v>
      </c>
      <c r="M479">
        <f t="shared" si="7"/>
        <v>1127.3744999999999</v>
      </c>
    </row>
    <row r="480" spans="1:13" x14ac:dyDescent="0.3">
      <c r="A480" t="s">
        <v>537</v>
      </c>
      <c r="B480" s="1">
        <v>45862</v>
      </c>
      <c r="C480" t="s">
        <v>81</v>
      </c>
      <c r="D480" t="s">
        <v>64</v>
      </c>
      <c r="E480" t="s">
        <v>52</v>
      </c>
      <c r="F480" t="s">
        <v>53</v>
      </c>
      <c r="G480" t="s">
        <v>25</v>
      </c>
      <c r="H480" t="s">
        <v>26</v>
      </c>
      <c r="I480">
        <v>25</v>
      </c>
      <c r="J480">
        <v>114.96</v>
      </c>
      <c r="K480">
        <v>15</v>
      </c>
      <c r="L480">
        <v>2442.9</v>
      </c>
      <c r="M480">
        <f t="shared" si="7"/>
        <v>2442.9</v>
      </c>
    </row>
    <row r="481" spans="1:13" x14ac:dyDescent="0.3">
      <c r="A481" t="s">
        <v>538</v>
      </c>
      <c r="B481" s="1">
        <v>45995</v>
      </c>
      <c r="C481" t="s">
        <v>33</v>
      </c>
      <c r="D481" t="s">
        <v>14</v>
      </c>
      <c r="E481" t="s">
        <v>56</v>
      </c>
      <c r="F481" t="s">
        <v>48</v>
      </c>
      <c r="G481" t="s">
        <v>37</v>
      </c>
      <c r="H481" t="s">
        <v>31</v>
      </c>
      <c r="I481">
        <v>13</v>
      </c>
      <c r="J481">
        <v>119.92</v>
      </c>
      <c r="K481">
        <v>5</v>
      </c>
      <c r="L481">
        <v>1481.01</v>
      </c>
      <c r="M481">
        <f t="shared" si="7"/>
        <v>1481.0119999999999</v>
      </c>
    </row>
    <row r="482" spans="1:13" x14ac:dyDescent="0.3">
      <c r="A482" t="s">
        <v>539</v>
      </c>
      <c r="B482" s="1">
        <v>45898</v>
      </c>
      <c r="C482" t="s">
        <v>24</v>
      </c>
      <c r="D482" t="s">
        <v>14</v>
      </c>
      <c r="E482" t="s">
        <v>39</v>
      </c>
      <c r="F482" t="s">
        <v>39</v>
      </c>
      <c r="G482" t="s">
        <v>22</v>
      </c>
      <c r="H482" t="s">
        <v>18</v>
      </c>
      <c r="I482">
        <v>10</v>
      </c>
      <c r="J482">
        <v>68.23</v>
      </c>
      <c r="K482">
        <v>0</v>
      </c>
      <c r="L482">
        <v>682.3</v>
      </c>
      <c r="M482">
        <f t="shared" si="7"/>
        <v>682.30000000000007</v>
      </c>
    </row>
    <row r="483" spans="1:13" x14ac:dyDescent="0.3">
      <c r="A483" t="s">
        <v>540</v>
      </c>
      <c r="B483" s="1">
        <v>45921</v>
      </c>
      <c r="C483" t="s">
        <v>20</v>
      </c>
      <c r="D483" t="s">
        <v>14</v>
      </c>
      <c r="E483" t="s">
        <v>66</v>
      </c>
      <c r="F483" t="s">
        <v>67</v>
      </c>
      <c r="G483" t="s">
        <v>25</v>
      </c>
      <c r="H483" t="s">
        <v>31</v>
      </c>
      <c r="I483">
        <v>7</v>
      </c>
      <c r="J483">
        <v>156.47999999999999</v>
      </c>
      <c r="K483">
        <v>5</v>
      </c>
      <c r="L483">
        <v>1040.5899999999999</v>
      </c>
      <c r="M483">
        <f t="shared" si="7"/>
        <v>1040.5919999999999</v>
      </c>
    </row>
    <row r="484" spans="1:13" x14ac:dyDescent="0.3">
      <c r="A484" t="s">
        <v>541</v>
      </c>
      <c r="B484" s="1">
        <v>45722</v>
      </c>
      <c r="C484" t="s">
        <v>55</v>
      </c>
      <c r="D484" t="s">
        <v>14</v>
      </c>
      <c r="E484" t="s">
        <v>47</v>
      </c>
      <c r="F484" t="s">
        <v>48</v>
      </c>
      <c r="G484" t="s">
        <v>17</v>
      </c>
      <c r="H484" t="s">
        <v>26</v>
      </c>
      <c r="I484">
        <v>30</v>
      </c>
      <c r="J484">
        <v>195.51</v>
      </c>
      <c r="K484">
        <v>0</v>
      </c>
      <c r="L484">
        <v>5865.3</v>
      </c>
      <c r="M484">
        <f t="shared" si="7"/>
        <v>5865.2999999999993</v>
      </c>
    </row>
    <row r="485" spans="1:13" x14ac:dyDescent="0.3">
      <c r="A485" t="s">
        <v>542</v>
      </c>
      <c r="B485" s="1">
        <v>45995</v>
      </c>
      <c r="C485" t="s">
        <v>33</v>
      </c>
      <c r="D485" t="s">
        <v>14</v>
      </c>
      <c r="E485" t="s">
        <v>21</v>
      </c>
      <c r="F485" t="s">
        <v>16</v>
      </c>
      <c r="G485" t="s">
        <v>17</v>
      </c>
      <c r="H485" t="s">
        <v>18</v>
      </c>
      <c r="I485">
        <v>3</v>
      </c>
      <c r="J485">
        <v>115.52</v>
      </c>
      <c r="K485">
        <v>15</v>
      </c>
      <c r="L485">
        <v>294.58</v>
      </c>
      <c r="M485">
        <f t="shared" si="7"/>
        <v>294.57600000000002</v>
      </c>
    </row>
    <row r="486" spans="1:13" x14ac:dyDescent="0.3">
      <c r="A486" t="s">
        <v>543</v>
      </c>
      <c r="B486" s="1">
        <v>45836</v>
      </c>
      <c r="C486" t="s">
        <v>42</v>
      </c>
      <c r="D486" t="s">
        <v>43</v>
      </c>
      <c r="E486" t="s">
        <v>21</v>
      </c>
      <c r="F486" t="s">
        <v>16</v>
      </c>
      <c r="G486" t="s">
        <v>17</v>
      </c>
      <c r="H486" t="s">
        <v>18</v>
      </c>
      <c r="I486">
        <v>18</v>
      </c>
      <c r="J486">
        <v>146.32</v>
      </c>
      <c r="K486">
        <v>15</v>
      </c>
      <c r="L486">
        <v>2238.6999999999998</v>
      </c>
      <c r="M486">
        <f t="shared" si="7"/>
        <v>2238.6959999999999</v>
      </c>
    </row>
    <row r="487" spans="1:13" x14ac:dyDescent="0.3">
      <c r="A487" t="s">
        <v>544</v>
      </c>
      <c r="B487" s="1">
        <v>45874</v>
      </c>
      <c r="C487" t="s">
        <v>104</v>
      </c>
      <c r="D487" t="s">
        <v>14</v>
      </c>
      <c r="E487" t="s">
        <v>101</v>
      </c>
      <c r="F487" t="s">
        <v>16</v>
      </c>
      <c r="G487" t="s">
        <v>25</v>
      </c>
      <c r="H487" t="s">
        <v>18</v>
      </c>
      <c r="I487">
        <v>27</v>
      </c>
      <c r="J487">
        <v>222.84</v>
      </c>
      <c r="K487">
        <v>15</v>
      </c>
      <c r="L487">
        <v>5114.18</v>
      </c>
      <c r="M487">
        <f t="shared" si="7"/>
        <v>5114.1779999999999</v>
      </c>
    </row>
    <row r="488" spans="1:13" x14ac:dyDescent="0.3">
      <c r="A488" t="s">
        <v>545</v>
      </c>
      <c r="B488" s="1">
        <v>45670</v>
      </c>
      <c r="C488" t="s">
        <v>24</v>
      </c>
      <c r="D488" t="s">
        <v>14</v>
      </c>
      <c r="E488" t="s">
        <v>56</v>
      </c>
      <c r="F488" t="s">
        <v>48</v>
      </c>
      <c r="G488" t="s">
        <v>25</v>
      </c>
      <c r="H488" t="s">
        <v>18</v>
      </c>
      <c r="I488">
        <v>24</v>
      </c>
      <c r="J488">
        <v>61.81</v>
      </c>
      <c r="K488">
        <v>10</v>
      </c>
      <c r="L488">
        <v>1335.1</v>
      </c>
      <c r="M488">
        <f t="shared" si="7"/>
        <v>1335.096</v>
      </c>
    </row>
    <row r="489" spans="1:13" x14ac:dyDescent="0.3">
      <c r="A489" t="s">
        <v>546</v>
      </c>
      <c r="B489" s="1">
        <v>45751</v>
      </c>
      <c r="C489" t="s">
        <v>104</v>
      </c>
      <c r="D489" t="s">
        <v>14</v>
      </c>
      <c r="E489" t="s">
        <v>101</v>
      </c>
      <c r="F489" t="s">
        <v>16</v>
      </c>
      <c r="G489" t="s">
        <v>37</v>
      </c>
      <c r="H489" t="s">
        <v>18</v>
      </c>
      <c r="I489">
        <v>18</v>
      </c>
      <c r="J489">
        <v>227.75</v>
      </c>
      <c r="K489">
        <v>0</v>
      </c>
      <c r="L489">
        <v>4099.5</v>
      </c>
      <c r="M489">
        <f t="shared" si="7"/>
        <v>4099.5</v>
      </c>
    </row>
    <row r="490" spans="1:13" x14ac:dyDescent="0.3">
      <c r="A490" t="s">
        <v>547</v>
      </c>
      <c r="B490" s="1">
        <v>45758</v>
      </c>
      <c r="C490" t="s">
        <v>55</v>
      </c>
      <c r="D490" t="s">
        <v>14</v>
      </c>
      <c r="E490" t="s">
        <v>29</v>
      </c>
      <c r="F490" t="s">
        <v>30</v>
      </c>
      <c r="G490" t="s">
        <v>37</v>
      </c>
      <c r="H490" t="s">
        <v>18</v>
      </c>
      <c r="I490">
        <v>20</v>
      </c>
      <c r="J490">
        <v>185.19</v>
      </c>
      <c r="K490">
        <v>5</v>
      </c>
      <c r="L490">
        <v>3518.61</v>
      </c>
      <c r="M490">
        <f t="shared" si="7"/>
        <v>3518.61</v>
      </c>
    </row>
    <row r="491" spans="1:13" x14ac:dyDescent="0.3">
      <c r="A491" t="s">
        <v>548</v>
      </c>
      <c r="B491" s="1">
        <v>45913</v>
      </c>
      <c r="C491" t="s">
        <v>86</v>
      </c>
      <c r="D491" t="s">
        <v>14</v>
      </c>
      <c r="E491" t="s">
        <v>56</v>
      </c>
      <c r="F491" t="s">
        <v>48</v>
      </c>
      <c r="G491" t="s">
        <v>37</v>
      </c>
      <c r="H491" t="s">
        <v>26</v>
      </c>
      <c r="I491">
        <v>4</v>
      </c>
      <c r="J491">
        <v>74.37</v>
      </c>
      <c r="K491">
        <v>5</v>
      </c>
      <c r="L491">
        <v>282.61</v>
      </c>
      <c r="M491">
        <f t="shared" si="7"/>
        <v>282.60599999999999</v>
      </c>
    </row>
    <row r="492" spans="1:13" x14ac:dyDescent="0.3">
      <c r="A492" t="s">
        <v>549</v>
      </c>
      <c r="B492" s="1">
        <v>45867</v>
      </c>
      <c r="C492" t="s">
        <v>45</v>
      </c>
      <c r="D492" t="s">
        <v>46</v>
      </c>
      <c r="E492" t="s">
        <v>21</v>
      </c>
      <c r="F492" t="s">
        <v>16</v>
      </c>
      <c r="G492" t="s">
        <v>37</v>
      </c>
      <c r="H492" t="s">
        <v>26</v>
      </c>
      <c r="I492">
        <v>29</v>
      </c>
      <c r="J492">
        <v>310.82</v>
      </c>
      <c r="K492">
        <v>20</v>
      </c>
      <c r="L492">
        <v>7211.02</v>
      </c>
      <c r="M492">
        <f t="shared" si="7"/>
        <v>7211.0240000000013</v>
      </c>
    </row>
    <row r="493" spans="1:13" x14ac:dyDescent="0.3">
      <c r="A493" t="s">
        <v>550</v>
      </c>
      <c r="B493" s="1">
        <v>45967</v>
      </c>
      <c r="C493" t="s">
        <v>104</v>
      </c>
      <c r="D493" t="s">
        <v>14</v>
      </c>
      <c r="E493" t="s">
        <v>15</v>
      </c>
      <c r="F493" t="s">
        <v>16</v>
      </c>
      <c r="G493" t="s">
        <v>22</v>
      </c>
      <c r="H493" t="s">
        <v>31</v>
      </c>
      <c r="I493">
        <v>17</v>
      </c>
      <c r="J493">
        <v>214.33</v>
      </c>
      <c r="K493">
        <v>10</v>
      </c>
      <c r="L493">
        <v>3279.25</v>
      </c>
      <c r="M493">
        <f t="shared" si="7"/>
        <v>3279.2490000000003</v>
      </c>
    </row>
    <row r="494" spans="1:13" x14ac:dyDescent="0.3">
      <c r="A494" t="s">
        <v>551</v>
      </c>
      <c r="B494" s="1">
        <v>45873</v>
      </c>
      <c r="C494" t="s">
        <v>24</v>
      </c>
      <c r="D494" t="s">
        <v>14</v>
      </c>
      <c r="E494" t="s">
        <v>47</v>
      </c>
      <c r="F494" t="s">
        <v>48</v>
      </c>
      <c r="G494" t="s">
        <v>17</v>
      </c>
      <c r="H494" t="s">
        <v>26</v>
      </c>
      <c r="I494">
        <v>24</v>
      </c>
      <c r="J494">
        <v>66.400000000000006</v>
      </c>
      <c r="K494">
        <v>5</v>
      </c>
      <c r="L494">
        <v>1513.92</v>
      </c>
      <c r="M494">
        <f t="shared" si="7"/>
        <v>1513.92</v>
      </c>
    </row>
    <row r="495" spans="1:13" x14ac:dyDescent="0.3">
      <c r="A495" t="s">
        <v>552</v>
      </c>
      <c r="B495" s="1">
        <v>45806</v>
      </c>
      <c r="C495" t="s">
        <v>24</v>
      </c>
      <c r="D495" t="s">
        <v>14</v>
      </c>
      <c r="E495" t="s">
        <v>56</v>
      </c>
      <c r="F495" t="s">
        <v>48</v>
      </c>
      <c r="G495" t="s">
        <v>37</v>
      </c>
      <c r="H495" t="s">
        <v>31</v>
      </c>
      <c r="I495">
        <v>4</v>
      </c>
      <c r="J495">
        <v>62.6</v>
      </c>
      <c r="K495">
        <v>15</v>
      </c>
      <c r="L495">
        <v>212.84</v>
      </c>
      <c r="M495">
        <f t="shared" si="7"/>
        <v>212.84</v>
      </c>
    </row>
    <row r="496" spans="1:13" x14ac:dyDescent="0.3">
      <c r="A496" t="s">
        <v>553</v>
      </c>
      <c r="B496" s="1">
        <v>45892</v>
      </c>
      <c r="C496" t="s">
        <v>28</v>
      </c>
      <c r="D496" t="s">
        <v>14</v>
      </c>
      <c r="E496" t="s">
        <v>60</v>
      </c>
      <c r="F496" t="s">
        <v>61</v>
      </c>
      <c r="G496" t="s">
        <v>25</v>
      </c>
      <c r="H496" t="s">
        <v>31</v>
      </c>
      <c r="I496">
        <v>2</v>
      </c>
      <c r="J496">
        <v>226.39</v>
      </c>
      <c r="K496">
        <v>15</v>
      </c>
      <c r="L496">
        <v>384.86</v>
      </c>
      <c r="M496">
        <f t="shared" si="7"/>
        <v>384.86299999999994</v>
      </c>
    </row>
    <row r="497" spans="1:13" x14ac:dyDescent="0.3">
      <c r="A497" t="s">
        <v>554</v>
      </c>
      <c r="B497" s="1">
        <v>45960</v>
      </c>
      <c r="C497" t="s">
        <v>89</v>
      </c>
      <c r="D497" t="s">
        <v>64</v>
      </c>
      <c r="E497" t="s">
        <v>73</v>
      </c>
      <c r="F497" t="s">
        <v>74</v>
      </c>
      <c r="G497" t="s">
        <v>17</v>
      </c>
      <c r="H497" t="s">
        <v>31</v>
      </c>
      <c r="I497">
        <v>23</v>
      </c>
      <c r="J497">
        <v>110.35</v>
      </c>
      <c r="K497">
        <v>15</v>
      </c>
      <c r="L497">
        <v>2157.34</v>
      </c>
      <c r="M497">
        <f t="shared" si="7"/>
        <v>2157.3424999999997</v>
      </c>
    </row>
    <row r="498" spans="1:13" x14ac:dyDescent="0.3">
      <c r="A498" t="s">
        <v>555</v>
      </c>
      <c r="B498" s="1">
        <v>45994</v>
      </c>
      <c r="C498" t="s">
        <v>104</v>
      </c>
      <c r="D498" t="s">
        <v>14</v>
      </c>
      <c r="E498" t="s">
        <v>66</v>
      </c>
      <c r="F498" t="s">
        <v>67</v>
      </c>
      <c r="G498" t="s">
        <v>25</v>
      </c>
      <c r="H498" t="s">
        <v>26</v>
      </c>
      <c r="I498">
        <v>6</v>
      </c>
      <c r="J498">
        <v>238.09</v>
      </c>
      <c r="K498">
        <v>5</v>
      </c>
      <c r="L498">
        <v>1357.11</v>
      </c>
      <c r="M498">
        <f t="shared" si="7"/>
        <v>1357.1129999999998</v>
      </c>
    </row>
    <row r="499" spans="1:13" x14ac:dyDescent="0.3">
      <c r="A499" t="s">
        <v>556</v>
      </c>
      <c r="B499" s="1">
        <v>45925</v>
      </c>
      <c r="C499" t="s">
        <v>71</v>
      </c>
      <c r="D499" t="s">
        <v>64</v>
      </c>
      <c r="E499" t="s">
        <v>66</v>
      </c>
      <c r="F499" t="s">
        <v>67</v>
      </c>
      <c r="G499" t="s">
        <v>22</v>
      </c>
      <c r="H499" t="s">
        <v>26</v>
      </c>
      <c r="I499">
        <v>4</v>
      </c>
      <c r="J499">
        <v>147.13</v>
      </c>
      <c r="K499">
        <v>0</v>
      </c>
      <c r="L499">
        <v>588.52</v>
      </c>
      <c r="M499">
        <f t="shared" si="7"/>
        <v>588.52</v>
      </c>
    </row>
    <row r="500" spans="1:13" x14ac:dyDescent="0.3">
      <c r="A500" t="s">
        <v>557</v>
      </c>
      <c r="B500" s="1">
        <v>45845</v>
      </c>
      <c r="C500" t="s">
        <v>86</v>
      </c>
      <c r="D500" t="s">
        <v>14</v>
      </c>
      <c r="E500" t="s">
        <v>15</v>
      </c>
      <c r="F500" t="s">
        <v>16</v>
      </c>
      <c r="G500" t="s">
        <v>37</v>
      </c>
      <c r="H500" t="s">
        <v>26</v>
      </c>
      <c r="I500">
        <v>12</v>
      </c>
      <c r="J500">
        <v>80.66</v>
      </c>
      <c r="K500">
        <v>5</v>
      </c>
      <c r="L500">
        <v>919.52</v>
      </c>
      <c r="M500">
        <f t="shared" si="7"/>
        <v>919.52399999999989</v>
      </c>
    </row>
    <row r="501" spans="1:13" x14ac:dyDescent="0.3">
      <c r="A501" t="s">
        <v>558</v>
      </c>
      <c r="B501" s="1">
        <v>45761</v>
      </c>
      <c r="C501" t="s">
        <v>20</v>
      </c>
      <c r="D501" t="s">
        <v>14</v>
      </c>
      <c r="E501" t="s">
        <v>47</v>
      </c>
      <c r="F501" t="s">
        <v>48</v>
      </c>
      <c r="G501" t="s">
        <v>17</v>
      </c>
      <c r="H501" t="s">
        <v>18</v>
      </c>
      <c r="I501">
        <v>29</v>
      </c>
      <c r="J501">
        <v>138.25</v>
      </c>
      <c r="K501">
        <v>0</v>
      </c>
      <c r="L501">
        <v>4009.25</v>
      </c>
      <c r="M501">
        <f t="shared" si="7"/>
        <v>4009.25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DASHBORD</vt:lpstr>
      <vt:lpstr>HUL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anoop verma</cp:lastModifiedBy>
  <dcterms:created xsi:type="dcterms:W3CDTF">2026-09-21T15:44:38Z</dcterms:created>
  <dcterms:modified xsi:type="dcterms:W3CDTF">2026-09-24T18:24:05Z</dcterms:modified>
</cp:coreProperties>
</file>